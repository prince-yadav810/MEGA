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egaenterprise\D\OLD DATA\Mega Quotation - Copy\"/>
    </mc:Choice>
  </mc:AlternateContent>
  <bookViews>
    <workbookView xWindow="-105" yWindow="-105" windowWidth="23250" windowHeight="12450"/>
  </bookViews>
  <sheets>
    <sheet name="Sheet1" sheetId="4" r:id="rId1"/>
    <sheet name="Sheet2" sheetId="13" r:id="rId2"/>
  </sheets>
  <definedNames>
    <definedName name="_xlnm.Print_Area" localSheetId="0">Sheet1!$A$1:$H$47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" i="4" l="1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 l="1"/>
  <c r="H13" i="4"/>
  <c r="H12" i="4"/>
  <c r="H11" i="4"/>
  <c r="H10" i="4"/>
  <c r="H9" i="4"/>
  <c r="H8" i="4"/>
  <c r="H40" i="4" l="1"/>
</calcChain>
</file>

<file path=xl/sharedStrings.xml><?xml version="1.0" encoding="utf-8"?>
<sst xmlns="http://schemas.openxmlformats.org/spreadsheetml/2006/main" count="184" uniqueCount="61">
  <si>
    <t>MEGA ENTERPRISE</t>
  </si>
  <si>
    <t>REF NO</t>
  </si>
  <si>
    <t>TO,</t>
  </si>
  <si>
    <t>DATE</t>
  </si>
  <si>
    <t>Sr No</t>
  </si>
  <si>
    <t>DISCRIPTION</t>
  </si>
  <si>
    <t>QTY</t>
  </si>
  <si>
    <t>UNIT</t>
  </si>
  <si>
    <t>RATE</t>
  </si>
  <si>
    <t>PER</t>
  </si>
  <si>
    <t>GST</t>
  </si>
  <si>
    <t>AMOUNT (EXCL GST)</t>
  </si>
  <si>
    <t>TERMS&amp;CONDITION</t>
  </si>
  <si>
    <t>Authorised Signatory.</t>
  </si>
  <si>
    <t>GST NO: 27DRGPD9065L1ZA</t>
  </si>
  <si>
    <t>MOB. NO. 7506070157</t>
  </si>
  <si>
    <t>1ST LEVEL, PLOT NO PAP-57, MIDC WATER TANK, MIDC TALOJA, NAVI MUMBAI -410208</t>
  </si>
  <si>
    <t>IFS Code: IBKL0000047</t>
  </si>
  <si>
    <t xml:space="preserve"> </t>
  </si>
  <si>
    <t>For, Mega Enterprise.</t>
  </si>
  <si>
    <t>QUOTATION</t>
  </si>
  <si>
    <t>GST EXTRA AS APPLICABLE</t>
  </si>
  <si>
    <t>DELIVERY CHARGES EXTRA</t>
  </si>
  <si>
    <t>VALIDITY 1 WEEK</t>
  </si>
  <si>
    <t xml:space="preserve"> TOTAL</t>
  </si>
  <si>
    <t>LEIGHTON INDIA CONTRACTORS</t>
  </si>
  <si>
    <t>PAYMENT 45 DAYS</t>
  </si>
  <si>
    <t>MTR</t>
  </si>
  <si>
    <t>NOS</t>
  </si>
  <si>
    <t>22.08.2025</t>
  </si>
  <si>
    <t>CPVC TEE 50MM</t>
  </si>
  <si>
    <t>CPVC ELBOW 50MM</t>
  </si>
  <si>
    <t>CPVC BRASS MTA 50MM</t>
  </si>
  <si>
    <t>CPVC PIPE 50MM</t>
  </si>
  <si>
    <t>CPVC BRASS FTA 20MM X 20MM</t>
  </si>
  <si>
    <t>SH 40 PIPE 50MM</t>
  </si>
  <si>
    <t>BRASS FTA 50MM</t>
  </si>
  <si>
    <t>SH 40 SOCKET 50MM</t>
  </si>
  <si>
    <t>SH TEE 50MM</t>
  </si>
  <si>
    <t>SH 40 BALLVALVE 50MM</t>
  </si>
  <si>
    <t>SH 40 ELBOW 50MM</t>
  </si>
  <si>
    <t>SH 40 BUSH 50MM X 40MM</t>
  </si>
  <si>
    <t>SH 40 PIPE 40MM</t>
  </si>
  <si>
    <t>SH 40 ELBOW 40MM</t>
  </si>
  <si>
    <t>SH 40 TEE</t>
  </si>
  <si>
    <t>SH 40 FTA 40MM</t>
  </si>
  <si>
    <t>SH 40 BALL VALVE</t>
  </si>
  <si>
    <t>SH 40 TANK NIPPLE 40MM (ONE SIDE SOCKETED)</t>
  </si>
  <si>
    <t>SH 40 UNION 40MM</t>
  </si>
  <si>
    <t>SH 40 BEND 45° 40MM</t>
  </si>
  <si>
    <t>FIRE HOSE REEL DRUM ONLY (PVC HOSE NOT REQUIRED)</t>
  </si>
  <si>
    <t>FIRE HOSE REEL NOZZAL ONLY (METAL BODY)</t>
  </si>
  <si>
    <t>CPVC BALL VALVE 20MM</t>
  </si>
  <si>
    <t>SH 40 COUPLER 25MM</t>
  </si>
  <si>
    <t>SINK JALI 100MM</t>
  </si>
  <si>
    <t>WAST PIPE 32MM</t>
  </si>
  <si>
    <t>URINAL PUSH COCK</t>
  </si>
  <si>
    <t>PVC CONNECTION PIPE 600MM</t>
  </si>
  <si>
    <t>BIB COCK BRASS CONCEALED SPINDLE</t>
  </si>
  <si>
    <t>UPVC SOLVENT CEMENT 500 ML</t>
  </si>
  <si>
    <t>CPVC SOLVENT CEMENT 100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</si>
</sst>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21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9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3"/>
      <name val="Calibri"/>
      <family val="2"/>
      <scheme val="minor"/>
    </font>
    <font>
      <b/>
      <sz val="14"/>
      <name val="Arial Unicode MS"/>
      <family val="2"/>
    </font>
    <font>
      <b/>
      <sz val="57"/>
      <name val="Arial Unicode MS"/>
      <family val="2"/>
    </font>
    <font>
      <b/>
      <sz val="11"/>
      <color theme="1"/>
      <name val="Cambria"/>
      <family val="1"/>
      <scheme val="maj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name val="Verdana"/>
      <family val="2"/>
    </font>
    <font>
      <sz val="9"/>
      <color rgb="FF000000"/>
      <name val="Verdana"/>
      <family val="2"/>
    </font>
    <font>
      <sz val="8"/>
      <name val="Verdana"/>
      <family val="2"/>
    </font>
    <font>
      <sz val="12"/>
      <color rgb="FF000000"/>
      <name val="Arial"/>
      <family val="2"/>
    </font>
    <font>
      <sz val="10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88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2" fontId="11" fillId="3" borderId="12" xfId="0" applyNumberFormat="1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2" fontId="11" fillId="0" borderId="14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4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0" fontId="13" fillId="0" borderId="5" xfId="0" applyFont="1" applyBorder="1" applyAlignment="1">
      <alignment horizontal="left" vertical="center"/>
    </xf>
    <xf numFmtId="0" fontId="15" fillId="0" borderId="0" xfId="0" applyFont="1"/>
    <xf numFmtId="0" fontId="11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/>
    </xf>
    <xf numFmtId="0" fontId="17" fillId="3" borderId="8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9" fontId="16" fillId="0" borderId="8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164" fontId="12" fillId="3" borderId="17" xfId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vertical="center" wrapText="1"/>
    </xf>
    <xf numFmtId="0" fontId="16" fillId="0" borderId="24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2" fontId="16" fillId="0" borderId="21" xfId="0" applyNumberFormat="1" applyFont="1" applyBorder="1" applyAlignment="1">
      <alignment horizontal="center" vertical="center" wrapText="1"/>
    </xf>
    <xf numFmtId="0" fontId="19" fillId="3" borderId="26" xfId="0" applyFont="1" applyFill="1" applyBorder="1" applyAlignment="1">
      <alignment horizontal="center" vertical="center"/>
    </xf>
    <xf numFmtId="0" fontId="19" fillId="3" borderId="25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vertical="center" wrapText="1"/>
    </xf>
    <xf numFmtId="0" fontId="19" fillId="3" borderId="25" xfId="0" applyFont="1" applyFill="1" applyBorder="1" applyAlignment="1">
      <alignment vertical="center" wrapText="1"/>
    </xf>
    <xf numFmtId="0" fontId="19" fillId="3" borderId="26" xfId="0" applyFont="1" applyFill="1" applyBorder="1" applyAlignment="1">
      <alignment vertical="center"/>
    </xf>
    <xf numFmtId="0" fontId="19" fillId="3" borderId="25" xfId="0" applyFont="1" applyFill="1" applyBorder="1" applyAlignment="1">
      <alignment vertic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9" fontId="12" fillId="3" borderId="15" xfId="0" applyNumberFormat="1" applyFont="1" applyFill="1" applyBorder="1" applyAlignment="1">
      <alignment horizontal="center" vertical="center" wrapText="1"/>
    </xf>
    <xf numFmtId="9" fontId="12" fillId="3" borderId="16" xfId="0" applyNumberFormat="1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right" wrapText="1"/>
    </xf>
    <xf numFmtId="0" fontId="12" fillId="0" borderId="3" xfId="0" applyFont="1" applyBorder="1" applyAlignment="1">
      <alignment horizontal="right" wrapText="1"/>
    </xf>
    <xf numFmtId="2" fontId="11" fillId="0" borderId="1" xfId="0" applyNumberFormat="1" applyFont="1" applyBorder="1" applyAlignment="1">
      <alignment horizontal="right" vertical="center" wrapText="1"/>
    </xf>
    <xf numFmtId="2" fontId="11" fillId="0" borderId="6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7" fillId="3" borderId="1" xfId="0" applyFont="1" applyFill="1" applyBorder="1" applyAlignment="1">
      <alignment vertical="center" wrapText="1"/>
    </xf>
    <xf numFmtId="0" fontId="17" fillId="3" borderId="0" xfId="0" applyFont="1" applyFill="1" applyBorder="1" applyAlignment="1">
      <alignment vertical="center" wrapText="1"/>
    </xf>
    <xf numFmtId="9" fontId="16" fillId="0" borderId="24" xfId="0" applyNumberFormat="1" applyFont="1" applyBorder="1" applyAlignment="1">
      <alignment horizontal="center" vertical="center"/>
    </xf>
    <xf numFmtId="2" fontId="16" fillId="0" borderId="27" xfId="0" applyNumberFormat="1" applyFont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2" fontId="11" fillId="0" borderId="11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17" fillId="3" borderId="25" xfId="0" applyFont="1" applyFill="1" applyBorder="1" applyAlignment="1">
      <alignment horizontal="center" vertical="center"/>
    </xf>
    <xf numFmtId="0" fontId="17" fillId="3" borderId="26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vertical="center"/>
    </xf>
    <xf numFmtId="0" fontId="19" fillId="3" borderId="0" xfId="0" applyFont="1" applyFill="1" applyBorder="1" applyAlignment="1">
      <alignment vertical="center"/>
    </xf>
    <xf numFmtId="0" fontId="19" fillId="3" borderId="8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vertical="center" wrapText="1"/>
    </xf>
    <xf numFmtId="0" fontId="19" fillId="3" borderId="8" xfId="0" applyFont="1" applyFill="1" applyBorder="1" applyAlignment="1">
      <alignment vertical="center"/>
    </xf>
    <xf numFmtId="0" fontId="20" fillId="3" borderId="8" xfId="0" applyFont="1" applyFill="1" applyBorder="1" applyAlignment="1">
      <alignment vertical="center" wrapText="1"/>
    </xf>
    <xf numFmtId="1" fontId="11" fillId="0" borderId="8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990600</xdr:colOff>
      <xdr:row>34</xdr:row>
      <xdr:rowOff>158135</xdr:rowOff>
    </xdr:to>
    <xdr:sp macro="" textlink="">
      <xdr:nvSpPr>
        <xdr:cNvPr id="11" name="AutoShape 5" descr="https://mail.google.com/mail/u/0?ui=2&amp;ik=014f390daa&amp;attid=0.14&amp;permmsgid=msg-f:1789684153102645801&amp;th=18d63c414dd43a29&amp;view=fimg&amp;fur=ip&amp;sz=s0-l75-ft&amp;attbid=ANGjdJ9r0rgnwtXMVp7Ax9yzJAIeOQNmMtIU_FUuempx_eXfQyIM9M2BLoNepb5ksWuq5Onelc9OzGse0vKYCEqeEEaS2oLLWssTugWF422OtB0t4CrACWvqvlaoMio&amp;disp=emb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8439150" y="10258425"/>
          <a:ext cx="990600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1504950</xdr:colOff>
      <xdr:row>32</xdr:row>
      <xdr:rowOff>0</xdr:rowOff>
    </xdr:from>
    <xdr:to>
      <xdr:col>3</xdr:col>
      <xdr:colOff>387881</xdr:colOff>
      <xdr:row>38</xdr:row>
      <xdr:rowOff>174965</xdr:rowOff>
    </xdr:to>
    <xdr:sp macro="" textlink="">
      <xdr:nvSpPr>
        <xdr:cNvPr id="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 flipH="1" flipV="1">
          <a:off x="1882356" y="3917829"/>
          <a:ext cx="1947105" cy="1291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1504950</xdr:colOff>
      <xdr:row>32</xdr:row>
      <xdr:rowOff>0</xdr:rowOff>
    </xdr:from>
    <xdr:to>
      <xdr:col>1</xdr:col>
      <xdr:colOff>1713856</xdr:colOff>
      <xdr:row>32</xdr:row>
      <xdr:rowOff>89859</xdr:rowOff>
    </xdr:to>
    <xdr:sp macro="" textlink="">
      <xdr:nvSpPr>
        <xdr:cNvPr id="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882356" y="2246462"/>
          <a:ext cx="208906" cy="89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1504950</xdr:colOff>
      <xdr:row>38</xdr:row>
      <xdr:rowOff>5195</xdr:rowOff>
    </xdr:to>
    <xdr:sp macro="" textlink="">
      <xdr:nvSpPr>
        <xdr:cNvPr id="1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385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1504950</xdr:colOff>
      <xdr:row>32</xdr:row>
      <xdr:rowOff>0</xdr:rowOff>
    </xdr:from>
    <xdr:to>
      <xdr:col>1</xdr:col>
      <xdr:colOff>1896014</xdr:colOff>
      <xdr:row>33</xdr:row>
      <xdr:rowOff>42239</xdr:rowOff>
    </xdr:to>
    <xdr:sp macro="" textlink="">
      <xdr:nvSpPr>
        <xdr:cNvPr id="1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882356" y="2192548"/>
          <a:ext cx="391064" cy="22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1504950</xdr:colOff>
      <xdr:row>38</xdr:row>
      <xdr:rowOff>46080</xdr:rowOff>
    </xdr:to>
    <xdr:sp macro="" textlink="">
      <xdr:nvSpPr>
        <xdr:cNvPr id="1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050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1504950</xdr:colOff>
      <xdr:row>37</xdr:row>
      <xdr:rowOff>189406</xdr:rowOff>
    </xdr:to>
    <xdr:sp macro="" textlink="">
      <xdr:nvSpPr>
        <xdr:cNvPr id="1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15049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1190312</xdr:colOff>
      <xdr:row>32</xdr:row>
      <xdr:rowOff>0</xdr:rowOff>
    </xdr:from>
    <xdr:ext cx="314637" cy="287547"/>
    <xdr:sp macro="" textlink="">
      <xdr:nvSpPr>
        <xdr:cNvPr id="1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567718" y="2282406"/>
          <a:ext cx="314637" cy="2875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1504950</xdr:colOff>
      <xdr:row>32</xdr:row>
      <xdr:rowOff>0</xdr:rowOff>
    </xdr:from>
    <xdr:ext cx="391064" cy="226401"/>
    <xdr:sp macro="" textlink="">
      <xdr:nvSpPr>
        <xdr:cNvPr id="19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 flipH="1">
          <a:off x="1882356" y="2318350"/>
          <a:ext cx="391064" cy="226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826699</xdr:colOff>
      <xdr:row>7</xdr:row>
      <xdr:rowOff>0</xdr:rowOff>
    </xdr:from>
    <xdr:to>
      <xdr:col>10</xdr:col>
      <xdr:colOff>153479</xdr:colOff>
      <xdr:row>12</xdr:row>
      <xdr:rowOff>78259</xdr:rowOff>
    </xdr:to>
    <xdr:sp macro="" textlink="">
      <xdr:nvSpPr>
        <xdr:cNvPr id="2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946062" y="2273419"/>
          <a:ext cx="1501356" cy="116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458277</xdr:colOff>
      <xdr:row>32</xdr:row>
      <xdr:rowOff>0</xdr:rowOff>
    </xdr:from>
    <xdr:ext cx="718868" cy="314505"/>
    <xdr:sp macro="" textlink="">
      <xdr:nvSpPr>
        <xdr:cNvPr id="27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835683" y="3998702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602053</xdr:colOff>
      <xdr:row>32</xdr:row>
      <xdr:rowOff>0</xdr:rowOff>
    </xdr:from>
    <xdr:ext cx="718868" cy="314505"/>
    <xdr:sp macro="" textlink="">
      <xdr:nvSpPr>
        <xdr:cNvPr id="28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4501911" y="393669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1284976</xdr:colOff>
      <xdr:row>32</xdr:row>
      <xdr:rowOff>0</xdr:rowOff>
    </xdr:from>
    <xdr:ext cx="718868" cy="314505"/>
    <xdr:sp macro="" textlink="">
      <xdr:nvSpPr>
        <xdr:cNvPr id="31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1662382" y="436855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718868" cy="314505"/>
    <xdr:sp macro="" textlink="">
      <xdr:nvSpPr>
        <xdr:cNvPr id="33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0" y="285749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32</xdr:row>
      <xdr:rowOff>0</xdr:rowOff>
    </xdr:from>
    <xdr:ext cx="1501356" cy="1165645"/>
    <xdr:sp macro="" textlink="">
      <xdr:nvSpPr>
        <xdr:cNvPr id="34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7584029" y="3064173"/>
          <a:ext cx="1501356" cy="116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718868" cy="314505"/>
    <xdr:sp macro="" textlink="">
      <xdr:nvSpPr>
        <xdr:cNvPr id="35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0" y="2857499"/>
          <a:ext cx="718868" cy="314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1501356" cy="1165645"/>
    <xdr:sp macro="" textlink="">
      <xdr:nvSpPr>
        <xdr:cNvPr id="36" name="AutoShape 1" descr="https://mail.google.com/mail/u/0?ui=2&amp;ik=014f390daa&amp;attid=0.5&amp;permmsgid=msg-f:1798748722524542969&amp;th=18f6706ed64357f9&amp;view=fimg&amp;fur=ip&amp;sz=s0-l75-ft&amp;attbid=ANGjdJ_uQdAVOptLfgfo5vgr95QDzzYaLbmZPj4cAWVpx7p0826oSORMZ5qqN7MNjc1y6Y4D4Ty00ld-mhkVmeqVISrG7rBkPHRFnL9oS2CR2omoGBLnX_mRGeWdWpM&amp;disp=emb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0" y="1590495"/>
          <a:ext cx="1501356" cy="1165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819150</xdr:colOff>
      <xdr:row>44</xdr:row>
      <xdr:rowOff>85725</xdr:rowOff>
    </xdr:to>
    <xdr:sp macro="" textlink="">
      <xdr:nvSpPr>
        <xdr:cNvPr id="2049" name="m_4911997907829075138Picture 10" descr="https://mail.google.com/mail/u/0?ui=2&amp;ik=014f390daa&amp;attid=0.1&amp;permmsgid=msg-f:1841072031739137922&amp;th=198ccd4229b7cf82&amp;view=fimg&amp;fur=ip&amp;permmsgid=msg-f:1841072031739137922&amp;sz=s0-l75-ft&amp;attbid=ANGjdJ_KC3mF_5CIX8sJkuiSYhl6Hs3kQmepLS6frEpLQJYmS3FTl5lSaZugBuipY6tNgNbdnHAH1-ITVkAOJRF_fWVxN-ka_arfi02A270uq0I3gxKVeZf4waI3js8&amp;disp=emb&amp;zw"/>
        <xdr:cNvSpPr>
          <a:spLocks noChangeAspect="1" noChangeArrowheads="1"/>
        </xdr:cNvSpPr>
      </xdr:nvSpPr>
      <xdr:spPr bwMode="auto">
        <a:xfrm>
          <a:off x="609600" y="6953250"/>
          <a:ext cx="819150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zoomScale="110" zoomScaleNormal="110" workbookViewId="0">
      <selection activeCell="K32" sqref="K32"/>
    </sheetView>
  </sheetViews>
  <sheetFormatPr defaultRowHeight="15" x14ac:dyDescent="0.25"/>
  <cols>
    <col min="1" max="1" width="5.7109375" customWidth="1"/>
    <col min="2" max="2" width="38.42578125" customWidth="1"/>
    <col min="3" max="3" width="7.5703125" bestFit="1" customWidth="1"/>
    <col min="4" max="4" width="6.85546875" customWidth="1"/>
    <col min="5" max="5" width="11" customWidth="1"/>
    <col min="6" max="6" width="6.42578125" customWidth="1"/>
    <col min="7" max="7" width="6.5703125" bestFit="1" customWidth="1"/>
    <col min="8" max="8" width="14.28515625" bestFit="1" customWidth="1"/>
  </cols>
  <sheetData>
    <row r="1" spans="1:8" ht="15" customHeight="1" x14ac:dyDescent="0.25">
      <c r="A1" s="67" t="s">
        <v>20</v>
      </c>
      <c r="B1" s="67"/>
      <c r="C1" s="67"/>
      <c r="D1" s="67"/>
      <c r="E1" s="67"/>
      <c r="F1" s="67"/>
      <c r="G1" s="67"/>
      <c r="H1" s="67"/>
    </row>
    <row r="2" spans="1:8" ht="46.5" customHeight="1" x14ac:dyDescent="0.25">
      <c r="A2" s="68" t="s">
        <v>0</v>
      </c>
      <c r="B2" s="68"/>
      <c r="C2" s="68"/>
      <c r="D2" s="68"/>
      <c r="E2" s="68"/>
      <c r="F2" s="68"/>
      <c r="G2" s="68"/>
      <c r="H2" s="68"/>
    </row>
    <row r="3" spans="1:8" ht="15.75" thickBot="1" x14ac:dyDescent="0.3">
      <c r="A3" s="69" t="s">
        <v>16</v>
      </c>
      <c r="B3" s="69"/>
      <c r="C3" s="69"/>
      <c r="D3" s="69"/>
      <c r="E3" s="69"/>
      <c r="F3" s="70" t="s">
        <v>15</v>
      </c>
      <c r="G3" s="70"/>
      <c r="H3" s="70"/>
    </row>
    <row r="4" spans="1:8" x14ac:dyDescent="0.25">
      <c r="A4" s="11"/>
      <c r="B4" s="12"/>
      <c r="C4" s="13" t="s">
        <v>1</v>
      </c>
      <c r="D4" s="13"/>
      <c r="E4" s="14">
        <v>27781</v>
      </c>
      <c r="F4" s="13"/>
      <c r="G4" s="13"/>
      <c r="H4" s="12"/>
    </row>
    <row r="5" spans="1:8" ht="18" x14ac:dyDescent="0.25">
      <c r="A5" s="2" t="s">
        <v>2</v>
      </c>
      <c r="B5" s="32" t="s">
        <v>25</v>
      </c>
      <c r="C5" s="10" t="s">
        <v>3</v>
      </c>
      <c r="D5" s="3"/>
      <c r="E5" s="4" t="s">
        <v>29</v>
      </c>
      <c r="F5" s="3"/>
      <c r="G5" s="3"/>
      <c r="H5" s="1"/>
    </row>
    <row r="6" spans="1:8" ht="15.75" thickBot="1" x14ac:dyDescent="0.3">
      <c r="A6" s="5"/>
      <c r="B6" s="42"/>
      <c r="C6" s="6"/>
      <c r="D6" s="6"/>
      <c r="E6" s="7"/>
      <c r="F6" s="8"/>
      <c r="G6" s="8"/>
      <c r="H6" s="9"/>
    </row>
    <row r="7" spans="1:8" ht="29.25" thickBot="1" x14ac:dyDescent="0.3">
      <c r="A7" s="39" t="s">
        <v>4</v>
      </c>
      <c r="B7" s="49" t="s">
        <v>5</v>
      </c>
      <c r="C7" s="38" t="s">
        <v>6</v>
      </c>
      <c r="D7" s="38" t="s">
        <v>7</v>
      </c>
      <c r="E7" s="39" t="s">
        <v>8</v>
      </c>
      <c r="F7" s="40" t="s">
        <v>9</v>
      </c>
      <c r="G7" s="38" t="s">
        <v>10</v>
      </c>
      <c r="H7" s="39" t="s">
        <v>11</v>
      </c>
    </row>
    <row r="8" spans="1:8" x14ac:dyDescent="0.25">
      <c r="A8" s="43">
        <v>1</v>
      </c>
      <c r="B8" s="72" t="s">
        <v>30</v>
      </c>
      <c r="C8" s="35">
        <v>1</v>
      </c>
      <c r="D8" s="35" t="s">
        <v>28</v>
      </c>
      <c r="E8" s="45">
        <v>360</v>
      </c>
      <c r="F8" s="35" t="s">
        <v>28</v>
      </c>
      <c r="G8" s="73">
        <v>0.18</v>
      </c>
      <c r="H8" s="74">
        <f>E8*C8</f>
        <v>360</v>
      </c>
    </row>
    <row r="9" spans="1:8" x14ac:dyDescent="0.25">
      <c r="A9" s="35">
        <v>2</v>
      </c>
      <c r="B9" s="44" t="s">
        <v>31</v>
      </c>
      <c r="C9" s="35">
        <v>1</v>
      </c>
      <c r="D9" s="35" t="s">
        <v>28</v>
      </c>
      <c r="E9" s="48">
        <v>282</v>
      </c>
      <c r="F9" s="35" t="s">
        <v>28</v>
      </c>
      <c r="G9" s="37">
        <v>0.18</v>
      </c>
      <c r="H9" s="51">
        <f>E9*C9</f>
        <v>282</v>
      </c>
    </row>
    <row r="10" spans="1:8" x14ac:dyDescent="0.25">
      <c r="A10" s="35">
        <v>3</v>
      </c>
      <c r="B10" s="44" t="s">
        <v>32</v>
      </c>
      <c r="C10" s="35">
        <v>1</v>
      </c>
      <c r="D10" s="35" t="s">
        <v>28</v>
      </c>
      <c r="E10" s="47">
        <v>1418</v>
      </c>
      <c r="F10" s="35" t="s">
        <v>28</v>
      </c>
      <c r="G10" s="37">
        <v>0.18</v>
      </c>
      <c r="H10" s="51">
        <f t="shared" ref="H10:H38" si="0">E10*C10</f>
        <v>1418</v>
      </c>
    </row>
    <row r="11" spans="1:8" x14ac:dyDescent="0.25">
      <c r="A11" s="35">
        <v>4</v>
      </c>
      <c r="B11" s="44" t="s">
        <v>33</v>
      </c>
      <c r="C11" s="35">
        <v>3</v>
      </c>
      <c r="D11" s="35" t="s">
        <v>27</v>
      </c>
      <c r="E11" s="47">
        <v>575</v>
      </c>
      <c r="F11" s="35" t="s">
        <v>27</v>
      </c>
      <c r="G11" s="37">
        <v>0.18</v>
      </c>
      <c r="H11" s="51">
        <f t="shared" si="0"/>
        <v>1725</v>
      </c>
    </row>
    <row r="12" spans="1:8" x14ac:dyDescent="0.25">
      <c r="A12" s="35">
        <v>5</v>
      </c>
      <c r="B12" s="44" t="s">
        <v>34</v>
      </c>
      <c r="C12" s="35">
        <v>2</v>
      </c>
      <c r="D12" s="35" t="s">
        <v>28</v>
      </c>
      <c r="E12" s="47">
        <v>189</v>
      </c>
      <c r="F12" s="35" t="s">
        <v>28</v>
      </c>
      <c r="G12" s="37">
        <v>0.18</v>
      </c>
      <c r="H12" s="51">
        <f t="shared" si="0"/>
        <v>378</v>
      </c>
    </row>
    <row r="13" spans="1:8" x14ac:dyDescent="0.25">
      <c r="A13" s="35">
        <v>6</v>
      </c>
      <c r="B13" s="44" t="s">
        <v>60</v>
      </c>
      <c r="C13" s="35">
        <v>1</v>
      </c>
      <c r="D13" s="35" t="s">
        <v>28</v>
      </c>
      <c r="E13" s="47">
        <v>180</v>
      </c>
      <c r="F13" s="35" t="s">
        <v>28</v>
      </c>
      <c r="G13" s="37">
        <v>0.18</v>
      </c>
      <c r="H13" s="51">
        <f t="shared" si="0"/>
        <v>180</v>
      </c>
    </row>
    <row r="14" spans="1:8" x14ac:dyDescent="0.25">
      <c r="A14" s="35">
        <v>7</v>
      </c>
      <c r="B14" s="44" t="s">
        <v>35</v>
      </c>
      <c r="C14" s="35">
        <v>21</v>
      </c>
      <c r="D14" s="35" t="s">
        <v>27</v>
      </c>
      <c r="E14" s="47">
        <v>272</v>
      </c>
      <c r="F14" s="35" t="s">
        <v>27</v>
      </c>
      <c r="G14" s="37">
        <v>0.18</v>
      </c>
      <c r="H14" s="51">
        <f t="shared" si="0"/>
        <v>5712</v>
      </c>
    </row>
    <row r="15" spans="1:8" x14ac:dyDescent="0.25">
      <c r="A15" s="35">
        <v>8</v>
      </c>
      <c r="B15" s="44" t="s">
        <v>36</v>
      </c>
      <c r="C15" s="35">
        <v>1</v>
      </c>
      <c r="D15" s="35" t="s">
        <v>28</v>
      </c>
      <c r="E15" s="46">
        <v>482</v>
      </c>
      <c r="F15" s="35" t="s">
        <v>28</v>
      </c>
      <c r="G15" s="73">
        <v>0.18</v>
      </c>
      <c r="H15" s="51">
        <f t="shared" si="0"/>
        <v>482</v>
      </c>
    </row>
    <row r="16" spans="1:8" x14ac:dyDescent="0.25">
      <c r="A16" s="35">
        <v>9</v>
      </c>
      <c r="B16" s="44" t="s">
        <v>37</v>
      </c>
      <c r="C16" s="35">
        <v>6</v>
      </c>
      <c r="D16" s="35" t="s">
        <v>28</v>
      </c>
      <c r="E16" s="46">
        <v>54</v>
      </c>
      <c r="F16" s="35" t="s">
        <v>28</v>
      </c>
      <c r="G16" s="37">
        <v>0.18</v>
      </c>
      <c r="H16" s="51">
        <f t="shared" si="0"/>
        <v>324</v>
      </c>
    </row>
    <row r="17" spans="1:8" x14ac:dyDescent="0.25">
      <c r="A17" s="35">
        <v>10</v>
      </c>
      <c r="B17" s="44" t="s">
        <v>38</v>
      </c>
      <c r="C17" s="35">
        <v>3</v>
      </c>
      <c r="D17" s="35" t="s">
        <v>28</v>
      </c>
      <c r="E17" s="47">
        <v>106</v>
      </c>
      <c r="F17" s="35" t="s">
        <v>28</v>
      </c>
      <c r="G17" s="37">
        <v>0.18</v>
      </c>
      <c r="H17" s="51">
        <f t="shared" si="0"/>
        <v>318</v>
      </c>
    </row>
    <row r="18" spans="1:8" x14ac:dyDescent="0.25">
      <c r="A18" s="35">
        <v>11</v>
      </c>
      <c r="B18" s="44" t="s">
        <v>39</v>
      </c>
      <c r="C18" s="35">
        <v>3</v>
      </c>
      <c r="D18" s="35" t="s">
        <v>28</v>
      </c>
      <c r="E18" s="47">
        <v>443</v>
      </c>
      <c r="F18" s="35" t="s">
        <v>28</v>
      </c>
      <c r="G18" s="37">
        <v>0.18</v>
      </c>
      <c r="H18" s="51">
        <f t="shared" si="0"/>
        <v>1329</v>
      </c>
    </row>
    <row r="19" spans="1:8" x14ac:dyDescent="0.25">
      <c r="A19" s="35">
        <v>12</v>
      </c>
      <c r="B19" s="44" t="s">
        <v>40</v>
      </c>
      <c r="C19" s="35">
        <v>3</v>
      </c>
      <c r="D19" s="35" t="s">
        <v>28</v>
      </c>
      <c r="E19" s="47">
        <v>79</v>
      </c>
      <c r="F19" s="35" t="s">
        <v>28</v>
      </c>
      <c r="G19" s="37">
        <v>0.18</v>
      </c>
      <c r="H19" s="51">
        <f t="shared" si="0"/>
        <v>237</v>
      </c>
    </row>
    <row r="20" spans="1:8" x14ac:dyDescent="0.25">
      <c r="A20" s="35">
        <v>13</v>
      </c>
      <c r="B20" s="44" t="s">
        <v>41</v>
      </c>
      <c r="C20" s="35">
        <v>2</v>
      </c>
      <c r="D20" s="35" t="s">
        <v>28</v>
      </c>
      <c r="E20" s="47">
        <v>39</v>
      </c>
      <c r="F20" s="35" t="s">
        <v>28</v>
      </c>
      <c r="G20" s="37">
        <v>0.18</v>
      </c>
      <c r="H20" s="51">
        <f t="shared" si="0"/>
        <v>78</v>
      </c>
    </row>
    <row r="21" spans="1:8" x14ac:dyDescent="0.25">
      <c r="A21" s="35">
        <v>14</v>
      </c>
      <c r="B21" s="44" t="s">
        <v>42</v>
      </c>
      <c r="C21" s="35">
        <v>9</v>
      </c>
      <c r="D21" s="35" t="s">
        <v>27</v>
      </c>
      <c r="E21" s="47">
        <v>164</v>
      </c>
      <c r="F21" s="35" t="s">
        <v>27</v>
      </c>
      <c r="G21" s="37">
        <v>0.18</v>
      </c>
      <c r="H21" s="51">
        <f t="shared" si="0"/>
        <v>1476</v>
      </c>
    </row>
    <row r="22" spans="1:8" x14ac:dyDescent="0.25">
      <c r="A22" s="35">
        <v>15</v>
      </c>
      <c r="B22" s="44" t="s">
        <v>43</v>
      </c>
      <c r="C22" s="35">
        <v>4</v>
      </c>
      <c r="D22" s="35" t="s">
        <v>28</v>
      </c>
      <c r="E22" s="47">
        <v>54</v>
      </c>
      <c r="F22" s="35" t="s">
        <v>28</v>
      </c>
      <c r="G22" s="73">
        <v>0.18</v>
      </c>
      <c r="H22" s="51">
        <f t="shared" si="0"/>
        <v>216</v>
      </c>
    </row>
    <row r="23" spans="1:8" x14ac:dyDescent="0.25">
      <c r="A23" s="35">
        <v>16</v>
      </c>
      <c r="B23" s="44" t="s">
        <v>44</v>
      </c>
      <c r="C23" s="35">
        <v>3</v>
      </c>
      <c r="D23" s="35" t="s">
        <v>28</v>
      </c>
      <c r="E23" s="47">
        <v>69</v>
      </c>
      <c r="F23" s="35" t="s">
        <v>28</v>
      </c>
      <c r="G23" s="37">
        <v>0.18</v>
      </c>
      <c r="H23" s="51">
        <f t="shared" si="0"/>
        <v>207</v>
      </c>
    </row>
    <row r="24" spans="1:8" x14ac:dyDescent="0.25">
      <c r="A24" s="35">
        <v>17</v>
      </c>
      <c r="B24" s="44" t="s">
        <v>45</v>
      </c>
      <c r="C24" s="35">
        <v>2</v>
      </c>
      <c r="D24" s="35" t="s">
        <v>28</v>
      </c>
      <c r="E24" s="47">
        <v>38</v>
      </c>
      <c r="F24" s="35" t="s">
        <v>28</v>
      </c>
      <c r="G24" s="37">
        <v>0.18</v>
      </c>
      <c r="H24" s="51">
        <f t="shared" si="0"/>
        <v>76</v>
      </c>
    </row>
    <row r="25" spans="1:8" x14ac:dyDescent="0.25">
      <c r="A25" s="35">
        <v>18</v>
      </c>
      <c r="B25" s="44" t="s">
        <v>46</v>
      </c>
      <c r="C25" s="35">
        <v>3</v>
      </c>
      <c r="D25" s="35" t="s">
        <v>28</v>
      </c>
      <c r="E25" s="47">
        <v>268</v>
      </c>
      <c r="F25" s="35" t="s">
        <v>28</v>
      </c>
      <c r="G25" s="37">
        <v>0.18</v>
      </c>
      <c r="H25" s="51">
        <f t="shared" si="0"/>
        <v>804</v>
      </c>
    </row>
    <row r="26" spans="1:8" ht="22.5" x14ac:dyDescent="0.25">
      <c r="A26" s="35">
        <v>19</v>
      </c>
      <c r="B26" s="44" t="s">
        <v>47</v>
      </c>
      <c r="C26" s="35">
        <v>2</v>
      </c>
      <c r="D26" s="35" t="s">
        <v>28</v>
      </c>
      <c r="E26" s="47">
        <v>54</v>
      </c>
      <c r="F26" s="35" t="s">
        <v>28</v>
      </c>
      <c r="G26" s="37">
        <v>0.18</v>
      </c>
      <c r="H26" s="51">
        <f t="shared" si="0"/>
        <v>108</v>
      </c>
    </row>
    <row r="27" spans="1:8" x14ac:dyDescent="0.25">
      <c r="A27" s="35">
        <v>20</v>
      </c>
      <c r="B27" s="44" t="s">
        <v>48</v>
      </c>
      <c r="C27" s="35">
        <v>1</v>
      </c>
      <c r="D27" s="35" t="s">
        <v>28</v>
      </c>
      <c r="E27" s="47">
        <v>113</v>
      </c>
      <c r="F27" s="35" t="s">
        <v>28</v>
      </c>
      <c r="G27" s="37">
        <v>0.18</v>
      </c>
      <c r="H27" s="51">
        <f t="shared" si="0"/>
        <v>113</v>
      </c>
    </row>
    <row r="28" spans="1:8" x14ac:dyDescent="0.25">
      <c r="A28" s="35">
        <v>21</v>
      </c>
      <c r="B28" s="44" t="s">
        <v>49</v>
      </c>
      <c r="C28" s="35">
        <v>4</v>
      </c>
      <c r="D28" s="35" t="s">
        <v>28</v>
      </c>
      <c r="E28" s="47">
        <v>44</v>
      </c>
      <c r="F28" s="35" t="s">
        <v>28</v>
      </c>
      <c r="G28" s="37">
        <v>0.18</v>
      </c>
      <c r="H28" s="51">
        <f t="shared" si="0"/>
        <v>176</v>
      </c>
    </row>
    <row r="29" spans="1:8" x14ac:dyDescent="0.25">
      <c r="A29" s="35">
        <v>22</v>
      </c>
      <c r="B29" s="44" t="s">
        <v>59</v>
      </c>
      <c r="C29" s="35">
        <v>1</v>
      </c>
      <c r="D29" s="35" t="s">
        <v>28</v>
      </c>
      <c r="E29" s="47">
        <v>377</v>
      </c>
      <c r="F29" s="35" t="s">
        <v>28</v>
      </c>
      <c r="G29" s="73">
        <v>0.18</v>
      </c>
      <c r="H29" s="51">
        <f t="shared" si="0"/>
        <v>377</v>
      </c>
    </row>
    <row r="30" spans="1:8" ht="22.5" x14ac:dyDescent="0.25">
      <c r="A30" s="35">
        <v>23</v>
      </c>
      <c r="B30" s="44" t="s">
        <v>50</v>
      </c>
      <c r="C30" s="35">
        <v>1</v>
      </c>
      <c r="D30" s="35" t="s">
        <v>28</v>
      </c>
      <c r="E30" s="47">
        <v>1250</v>
      </c>
      <c r="F30" s="35" t="s">
        <v>28</v>
      </c>
      <c r="G30" s="37">
        <v>0.18</v>
      </c>
      <c r="H30" s="51">
        <f t="shared" si="0"/>
        <v>1250</v>
      </c>
    </row>
    <row r="31" spans="1:8" ht="22.5" x14ac:dyDescent="0.25">
      <c r="A31" s="35">
        <v>24</v>
      </c>
      <c r="B31" s="44" t="s">
        <v>51</v>
      </c>
      <c r="C31" s="35">
        <v>2</v>
      </c>
      <c r="D31" s="35" t="s">
        <v>28</v>
      </c>
      <c r="E31" s="47">
        <v>389</v>
      </c>
      <c r="F31" s="35" t="s">
        <v>28</v>
      </c>
      <c r="G31" s="37">
        <v>0.18</v>
      </c>
      <c r="H31" s="51">
        <f t="shared" si="0"/>
        <v>778</v>
      </c>
    </row>
    <row r="32" spans="1:8" x14ac:dyDescent="0.25">
      <c r="A32" s="35">
        <v>25</v>
      </c>
      <c r="B32" s="44" t="s">
        <v>52</v>
      </c>
      <c r="C32" s="35">
        <v>4</v>
      </c>
      <c r="D32" s="35" t="s">
        <v>28</v>
      </c>
      <c r="E32" s="47">
        <v>123</v>
      </c>
      <c r="F32" s="35" t="s">
        <v>28</v>
      </c>
      <c r="G32" s="37">
        <v>0.18</v>
      </c>
      <c r="H32" s="51">
        <f t="shared" si="0"/>
        <v>492</v>
      </c>
    </row>
    <row r="33" spans="1:8" x14ac:dyDescent="0.25">
      <c r="A33" s="35">
        <v>26</v>
      </c>
      <c r="B33" s="44" t="s">
        <v>53</v>
      </c>
      <c r="C33" s="35">
        <v>15</v>
      </c>
      <c r="D33" s="35" t="s">
        <v>28</v>
      </c>
      <c r="E33" s="87">
        <v>22</v>
      </c>
      <c r="F33" s="35" t="s">
        <v>28</v>
      </c>
      <c r="G33" s="37">
        <v>0.18</v>
      </c>
      <c r="H33" s="51">
        <f t="shared" si="0"/>
        <v>330</v>
      </c>
    </row>
    <row r="34" spans="1:8" x14ac:dyDescent="0.25">
      <c r="A34" s="35">
        <v>27</v>
      </c>
      <c r="B34" s="44" t="s">
        <v>54</v>
      </c>
      <c r="C34" s="35">
        <v>20</v>
      </c>
      <c r="D34" s="35" t="s">
        <v>28</v>
      </c>
      <c r="E34" s="87">
        <v>95</v>
      </c>
      <c r="F34" s="35" t="s">
        <v>28</v>
      </c>
      <c r="G34" s="37">
        <v>0.18</v>
      </c>
      <c r="H34" s="51">
        <f t="shared" si="0"/>
        <v>1900</v>
      </c>
    </row>
    <row r="35" spans="1:8" x14ac:dyDescent="0.25">
      <c r="A35" s="35">
        <v>28</v>
      </c>
      <c r="B35" s="44" t="s">
        <v>55</v>
      </c>
      <c r="C35" s="35">
        <v>24</v>
      </c>
      <c r="D35" s="35" t="s">
        <v>28</v>
      </c>
      <c r="E35" s="87">
        <v>120</v>
      </c>
      <c r="F35" s="35" t="s">
        <v>28</v>
      </c>
      <c r="G35" s="37">
        <v>0.18</v>
      </c>
      <c r="H35" s="51">
        <f t="shared" si="0"/>
        <v>2880</v>
      </c>
    </row>
    <row r="36" spans="1:8" x14ac:dyDescent="0.25">
      <c r="A36" s="35">
        <v>29</v>
      </c>
      <c r="B36" s="44" t="s">
        <v>56</v>
      </c>
      <c r="C36" s="35">
        <v>6</v>
      </c>
      <c r="D36" s="35" t="s">
        <v>28</v>
      </c>
      <c r="E36" s="87">
        <v>520</v>
      </c>
      <c r="F36" s="35" t="s">
        <v>28</v>
      </c>
      <c r="G36" s="73">
        <v>0.18</v>
      </c>
      <c r="H36" s="51">
        <f t="shared" si="0"/>
        <v>3120</v>
      </c>
    </row>
    <row r="37" spans="1:8" x14ac:dyDescent="0.25">
      <c r="A37" s="35">
        <v>30</v>
      </c>
      <c r="B37" s="44" t="s">
        <v>57</v>
      </c>
      <c r="C37" s="35">
        <v>6</v>
      </c>
      <c r="D37" s="35" t="s">
        <v>28</v>
      </c>
      <c r="E37" s="87">
        <v>220</v>
      </c>
      <c r="F37" s="35" t="s">
        <v>28</v>
      </c>
      <c r="G37" s="37">
        <v>0.18</v>
      </c>
      <c r="H37" s="51">
        <f t="shared" si="0"/>
        <v>1320</v>
      </c>
    </row>
    <row r="38" spans="1:8" x14ac:dyDescent="0.25">
      <c r="A38" s="35">
        <v>31</v>
      </c>
      <c r="B38" s="44" t="s">
        <v>58</v>
      </c>
      <c r="C38" s="35">
        <v>24</v>
      </c>
      <c r="D38" s="35" t="s">
        <v>28</v>
      </c>
      <c r="E38" s="87">
        <v>185</v>
      </c>
      <c r="F38" s="35" t="s">
        <v>28</v>
      </c>
      <c r="G38" s="37">
        <v>0.18</v>
      </c>
      <c r="H38" s="51">
        <f t="shared" si="0"/>
        <v>4440</v>
      </c>
    </row>
    <row r="39" spans="1:8" ht="15.75" thickBot="1" x14ac:dyDescent="0.3">
      <c r="A39" s="75"/>
      <c r="B39" s="71"/>
      <c r="C39" s="16"/>
      <c r="D39" s="76"/>
      <c r="E39" s="77"/>
      <c r="F39" s="78" t="s">
        <v>18</v>
      </c>
      <c r="G39" s="78"/>
      <c r="H39" s="15" t="s">
        <v>18</v>
      </c>
    </row>
    <row r="40" spans="1:8" ht="15.75" thickBot="1" x14ac:dyDescent="0.3">
      <c r="A40" s="17"/>
      <c r="B40" s="34" t="s">
        <v>17</v>
      </c>
      <c r="C40" s="33"/>
      <c r="D40" s="18"/>
      <c r="E40" s="19"/>
      <c r="F40" s="61" t="s">
        <v>24</v>
      </c>
      <c r="G40" s="62"/>
      <c r="H40" s="41">
        <f>SUM(H8:H39)</f>
        <v>32886</v>
      </c>
    </row>
    <row r="41" spans="1:8" x14ac:dyDescent="0.25">
      <c r="A41" s="26"/>
      <c r="B41" s="28" t="s">
        <v>12</v>
      </c>
      <c r="C41" s="29"/>
      <c r="D41" s="30"/>
      <c r="E41" s="63" t="s">
        <v>19</v>
      </c>
      <c r="F41" s="63"/>
      <c r="G41" s="63"/>
      <c r="H41" s="64"/>
    </row>
    <row r="42" spans="1:8" x14ac:dyDescent="0.25">
      <c r="A42" s="26"/>
      <c r="B42" s="36" t="s">
        <v>21</v>
      </c>
      <c r="C42" s="21"/>
      <c r="D42" s="20"/>
      <c r="E42" s="22"/>
      <c r="F42" s="23"/>
      <c r="G42" s="21"/>
      <c r="H42" s="24"/>
    </row>
    <row r="43" spans="1:8" ht="15.75" customHeight="1" x14ac:dyDescent="0.25">
      <c r="A43" s="26"/>
      <c r="B43" s="36" t="s">
        <v>22</v>
      </c>
      <c r="C43" s="21"/>
      <c r="D43" s="20"/>
      <c r="E43" s="22"/>
      <c r="F43" s="23"/>
      <c r="G43" s="21"/>
      <c r="H43" s="24"/>
    </row>
    <row r="44" spans="1:8" ht="15.75" customHeight="1" x14ac:dyDescent="0.25">
      <c r="A44" s="26"/>
      <c r="B44" s="36" t="s">
        <v>26</v>
      </c>
      <c r="C44" s="21"/>
      <c r="D44" s="20"/>
      <c r="E44" s="22"/>
      <c r="F44" s="23"/>
      <c r="G44" s="21"/>
      <c r="H44" s="24"/>
    </row>
    <row r="45" spans="1:8" x14ac:dyDescent="0.25">
      <c r="A45" s="26"/>
      <c r="B45" s="36" t="s">
        <v>23</v>
      </c>
      <c r="C45" s="21"/>
      <c r="D45" s="20"/>
      <c r="E45" s="22"/>
      <c r="F45" s="23"/>
      <c r="G45" s="21"/>
      <c r="H45" s="24"/>
    </row>
    <row r="46" spans="1:8" ht="15.75" customHeight="1" thickBot="1" x14ac:dyDescent="0.3">
      <c r="A46" s="27"/>
      <c r="B46" s="31"/>
      <c r="C46" s="25"/>
      <c r="D46" s="25"/>
      <c r="E46" s="65" t="s">
        <v>13</v>
      </c>
      <c r="F46" s="65"/>
      <c r="G46" s="65"/>
      <c r="H46" s="66"/>
    </row>
    <row r="47" spans="1:8" ht="15.75" customHeight="1" thickBot="1" x14ac:dyDescent="0.35">
      <c r="A47" s="58" t="s">
        <v>14</v>
      </c>
      <c r="B47" s="59"/>
      <c r="C47" s="59"/>
      <c r="D47" s="59"/>
      <c r="E47" s="59"/>
      <c r="F47" s="59"/>
      <c r="G47" s="59"/>
      <c r="H47" s="60"/>
    </row>
  </sheetData>
  <mergeCells count="8">
    <mergeCell ref="A47:H47"/>
    <mergeCell ref="F40:G40"/>
    <mergeCell ref="E41:H41"/>
    <mergeCell ref="E46:H46"/>
    <mergeCell ref="A1:H1"/>
    <mergeCell ref="A2:H2"/>
    <mergeCell ref="A3:E3"/>
    <mergeCell ref="F3:H3"/>
  </mergeCells>
  <pageMargins left="0.28000000000000003" right="0.3" top="0.23622047244094499" bottom="0.23622047244094499" header="0.23622047244094499" footer="0.23622047244094499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opLeftCell="A26" workbookViewId="0">
      <selection activeCell="D2" sqref="D2:D32"/>
    </sheetView>
  </sheetViews>
  <sheetFormatPr defaultRowHeight="15" x14ac:dyDescent="0.25"/>
  <cols>
    <col min="2" max="2" width="49.42578125" customWidth="1"/>
  </cols>
  <sheetData>
    <row r="1" spans="1:8" x14ac:dyDescent="0.25">
      <c r="A1" s="50"/>
      <c r="B1" s="50"/>
      <c r="C1" s="50"/>
      <c r="D1" s="50"/>
      <c r="E1" s="50"/>
      <c r="F1" s="50"/>
      <c r="G1" s="50"/>
      <c r="H1" s="50"/>
    </row>
    <row r="2" spans="1:8" x14ac:dyDescent="0.25">
      <c r="A2" s="83">
        <v>1</v>
      </c>
      <c r="B2" s="86" t="s">
        <v>30</v>
      </c>
      <c r="C2" s="35" t="s">
        <v>28</v>
      </c>
      <c r="D2" s="35">
        <v>1</v>
      </c>
      <c r="E2" s="85"/>
      <c r="F2" s="85"/>
      <c r="G2" s="85"/>
      <c r="H2" s="83">
        <v>1357</v>
      </c>
    </row>
    <row r="3" spans="1:8" x14ac:dyDescent="0.25">
      <c r="A3" s="83">
        <v>2</v>
      </c>
      <c r="B3" s="86" t="s">
        <v>31</v>
      </c>
      <c r="C3" s="35" t="s">
        <v>28</v>
      </c>
      <c r="D3" s="35">
        <v>1</v>
      </c>
      <c r="E3" s="85"/>
      <c r="F3" s="85"/>
      <c r="G3" s="85"/>
      <c r="H3" s="83">
        <v>1357</v>
      </c>
    </row>
    <row r="4" spans="1:8" x14ac:dyDescent="0.25">
      <c r="A4" s="83">
        <v>3</v>
      </c>
      <c r="B4" s="86" t="s">
        <v>32</v>
      </c>
      <c r="C4" s="35" t="s">
        <v>28</v>
      </c>
      <c r="D4" s="35">
        <v>1</v>
      </c>
      <c r="E4" s="85"/>
      <c r="F4" s="85"/>
      <c r="G4" s="85"/>
      <c r="H4" s="83">
        <v>1357</v>
      </c>
    </row>
    <row r="5" spans="1:8" x14ac:dyDescent="0.25">
      <c r="A5" s="83">
        <v>4</v>
      </c>
      <c r="B5" s="86" t="s">
        <v>33</v>
      </c>
      <c r="C5" s="35" t="s">
        <v>27</v>
      </c>
      <c r="D5" s="35">
        <v>3</v>
      </c>
      <c r="E5" s="85"/>
      <c r="F5" s="85"/>
      <c r="G5" s="85"/>
      <c r="H5" s="83">
        <v>1357</v>
      </c>
    </row>
    <row r="6" spans="1:8" x14ac:dyDescent="0.25">
      <c r="A6" s="83">
        <v>5</v>
      </c>
      <c r="B6" s="86" t="s">
        <v>34</v>
      </c>
      <c r="C6" s="35" t="s">
        <v>28</v>
      </c>
      <c r="D6" s="35">
        <v>2</v>
      </c>
      <c r="E6" s="85"/>
      <c r="F6" s="85"/>
      <c r="G6" s="85"/>
      <c r="H6" s="83">
        <v>1357</v>
      </c>
    </row>
    <row r="7" spans="1:8" x14ac:dyDescent="0.25">
      <c r="A7" s="83">
        <v>6</v>
      </c>
      <c r="B7" s="86" t="s">
        <v>60</v>
      </c>
      <c r="C7" s="35" t="s">
        <v>28</v>
      </c>
      <c r="D7" s="35">
        <v>1</v>
      </c>
      <c r="E7" s="85"/>
      <c r="F7" s="85"/>
      <c r="G7" s="85"/>
      <c r="H7" s="83">
        <v>1357</v>
      </c>
    </row>
    <row r="8" spans="1:8" x14ac:dyDescent="0.25">
      <c r="A8" s="83">
        <v>7</v>
      </c>
      <c r="B8" s="86" t="s">
        <v>35</v>
      </c>
      <c r="C8" s="35" t="s">
        <v>27</v>
      </c>
      <c r="D8" s="35">
        <v>21</v>
      </c>
      <c r="E8" s="85"/>
      <c r="F8" s="85"/>
      <c r="G8" s="85"/>
      <c r="H8" s="83">
        <v>1357</v>
      </c>
    </row>
    <row r="9" spans="1:8" x14ac:dyDescent="0.25">
      <c r="A9" s="83">
        <v>8</v>
      </c>
      <c r="B9" s="86" t="s">
        <v>36</v>
      </c>
      <c r="C9" s="35" t="s">
        <v>28</v>
      </c>
      <c r="D9" s="35">
        <v>1</v>
      </c>
      <c r="E9" s="85"/>
      <c r="F9" s="85"/>
      <c r="G9" s="85"/>
      <c r="H9" s="83">
        <v>1357</v>
      </c>
    </row>
    <row r="10" spans="1:8" x14ac:dyDescent="0.25">
      <c r="A10" s="83">
        <v>9</v>
      </c>
      <c r="B10" s="86" t="s">
        <v>37</v>
      </c>
      <c r="C10" s="35" t="s">
        <v>28</v>
      </c>
      <c r="D10" s="35">
        <v>6</v>
      </c>
      <c r="E10" s="85"/>
      <c r="F10" s="85"/>
      <c r="G10" s="85"/>
      <c r="H10" s="83">
        <v>1357</v>
      </c>
    </row>
    <row r="11" spans="1:8" x14ac:dyDescent="0.25">
      <c r="A11" s="83">
        <v>10</v>
      </c>
      <c r="B11" s="86" t="s">
        <v>38</v>
      </c>
      <c r="C11" s="35" t="s">
        <v>28</v>
      </c>
      <c r="D11" s="35">
        <v>3</v>
      </c>
      <c r="E11" s="85"/>
      <c r="F11" s="85"/>
      <c r="G11" s="85"/>
      <c r="H11" s="83">
        <v>1357</v>
      </c>
    </row>
    <row r="12" spans="1:8" x14ac:dyDescent="0.25">
      <c r="A12" s="83">
        <v>11</v>
      </c>
      <c r="B12" s="86" t="s">
        <v>39</v>
      </c>
      <c r="C12" s="35" t="s">
        <v>28</v>
      </c>
      <c r="D12" s="35">
        <v>3</v>
      </c>
      <c r="E12" s="85"/>
      <c r="F12" s="85"/>
      <c r="G12" s="85"/>
      <c r="H12" s="83">
        <v>1357</v>
      </c>
    </row>
    <row r="13" spans="1:8" x14ac:dyDescent="0.25">
      <c r="A13" s="83">
        <v>12</v>
      </c>
      <c r="B13" s="86" t="s">
        <v>40</v>
      </c>
      <c r="C13" s="35" t="s">
        <v>28</v>
      </c>
      <c r="D13" s="35">
        <v>3</v>
      </c>
      <c r="E13" s="85"/>
      <c r="F13" s="85"/>
      <c r="G13" s="85"/>
      <c r="H13" s="83">
        <v>1357</v>
      </c>
    </row>
    <row r="14" spans="1:8" x14ac:dyDescent="0.25">
      <c r="A14" s="83">
        <v>13</v>
      </c>
      <c r="B14" s="86" t="s">
        <v>41</v>
      </c>
      <c r="C14" s="35" t="s">
        <v>28</v>
      </c>
      <c r="D14" s="35">
        <v>2</v>
      </c>
      <c r="E14" s="85"/>
      <c r="F14" s="85"/>
      <c r="G14" s="85"/>
      <c r="H14" s="83">
        <v>1357</v>
      </c>
    </row>
    <row r="15" spans="1:8" x14ac:dyDescent="0.25">
      <c r="A15" s="83">
        <v>14</v>
      </c>
      <c r="B15" s="86" t="s">
        <v>42</v>
      </c>
      <c r="C15" s="35" t="s">
        <v>27</v>
      </c>
      <c r="D15" s="35">
        <v>9</v>
      </c>
      <c r="E15" s="85"/>
      <c r="F15" s="85"/>
      <c r="G15" s="85"/>
      <c r="H15" s="83">
        <v>1357</v>
      </c>
    </row>
    <row r="16" spans="1:8" x14ac:dyDescent="0.25">
      <c r="A16" s="83">
        <v>15</v>
      </c>
      <c r="B16" s="86" t="s">
        <v>43</v>
      </c>
      <c r="C16" s="35" t="s">
        <v>28</v>
      </c>
      <c r="D16" s="35">
        <v>4</v>
      </c>
      <c r="E16" s="85"/>
      <c r="F16" s="85"/>
      <c r="G16" s="85"/>
      <c r="H16" s="83">
        <v>1357</v>
      </c>
    </row>
    <row r="17" spans="1:8" x14ac:dyDescent="0.25">
      <c r="A17" s="83">
        <v>16</v>
      </c>
      <c r="B17" s="86" t="s">
        <v>44</v>
      </c>
      <c r="C17" s="35" t="s">
        <v>28</v>
      </c>
      <c r="D17" s="35">
        <v>3</v>
      </c>
      <c r="E17" s="85"/>
      <c r="F17" s="85"/>
      <c r="G17" s="85"/>
      <c r="H17" s="83">
        <v>1357</v>
      </c>
    </row>
    <row r="18" spans="1:8" x14ac:dyDescent="0.25">
      <c r="A18" s="83">
        <v>17</v>
      </c>
      <c r="B18" s="86" t="s">
        <v>45</v>
      </c>
      <c r="C18" s="35" t="s">
        <v>28</v>
      </c>
      <c r="D18" s="35">
        <v>2</v>
      </c>
      <c r="E18" s="85"/>
      <c r="F18" s="85"/>
      <c r="G18" s="85"/>
      <c r="H18" s="83">
        <v>1357</v>
      </c>
    </row>
    <row r="19" spans="1:8" x14ac:dyDescent="0.25">
      <c r="A19" s="83">
        <v>18</v>
      </c>
      <c r="B19" s="86" t="s">
        <v>46</v>
      </c>
      <c r="C19" s="35" t="s">
        <v>28</v>
      </c>
      <c r="D19" s="35">
        <v>3</v>
      </c>
      <c r="E19" s="85"/>
      <c r="F19" s="85"/>
      <c r="G19" s="85"/>
      <c r="H19" s="83">
        <v>1357</v>
      </c>
    </row>
    <row r="20" spans="1:8" x14ac:dyDescent="0.25">
      <c r="A20" s="83">
        <v>19</v>
      </c>
      <c r="B20" s="86" t="s">
        <v>47</v>
      </c>
      <c r="C20" s="35" t="s">
        <v>28</v>
      </c>
      <c r="D20" s="35">
        <v>2</v>
      </c>
      <c r="E20" s="85"/>
      <c r="F20" s="85"/>
      <c r="G20" s="85"/>
      <c r="H20" s="83">
        <v>1357</v>
      </c>
    </row>
    <row r="21" spans="1:8" x14ac:dyDescent="0.25">
      <c r="A21" s="83">
        <v>20</v>
      </c>
      <c r="B21" s="86" t="s">
        <v>48</v>
      </c>
      <c r="C21" s="35" t="s">
        <v>28</v>
      </c>
      <c r="D21" s="35">
        <v>1</v>
      </c>
      <c r="E21" s="85"/>
      <c r="F21" s="85"/>
      <c r="G21" s="85"/>
      <c r="H21" s="83">
        <v>1357</v>
      </c>
    </row>
    <row r="22" spans="1:8" x14ac:dyDescent="0.25">
      <c r="A22" s="83">
        <v>21</v>
      </c>
      <c r="B22" s="86" t="s">
        <v>49</v>
      </c>
      <c r="C22" s="35" t="s">
        <v>28</v>
      </c>
      <c r="D22" s="35">
        <v>4</v>
      </c>
      <c r="E22" s="85"/>
      <c r="F22" s="85"/>
      <c r="G22" s="85"/>
      <c r="H22" s="83">
        <v>1357</v>
      </c>
    </row>
    <row r="23" spans="1:8" x14ac:dyDescent="0.25">
      <c r="A23" s="83">
        <v>22</v>
      </c>
      <c r="B23" s="86" t="s">
        <v>59</v>
      </c>
      <c r="C23" s="35" t="s">
        <v>28</v>
      </c>
      <c r="D23" s="35">
        <v>1</v>
      </c>
      <c r="E23" s="85"/>
      <c r="F23" s="85"/>
      <c r="G23" s="85"/>
      <c r="H23" s="83">
        <v>1357</v>
      </c>
    </row>
    <row r="24" spans="1:8" ht="25.5" x14ac:dyDescent="0.25">
      <c r="A24" s="83">
        <v>23</v>
      </c>
      <c r="B24" s="86" t="s">
        <v>50</v>
      </c>
      <c r="C24" s="35" t="s">
        <v>28</v>
      </c>
      <c r="D24" s="35">
        <v>1</v>
      </c>
      <c r="E24" s="85"/>
      <c r="F24" s="85"/>
      <c r="G24" s="85"/>
      <c r="H24" s="83">
        <v>1357</v>
      </c>
    </row>
    <row r="25" spans="1:8" x14ac:dyDescent="0.25">
      <c r="A25" s="83">
        <v>24</v>
      </c>
      <c r="B25" s="86" t="s">
        <v>51</v>
      </c>
      <c r="C25" s="35" t="s">
        <v>28</v>
      </c>
      <c r="D25" s="35">
        <v>2</v>
      </c>
      <c r="E25" s="85"/>
      <c r="F25" s="85"/>
      <c r="G25" s="85"/>
      <c r="H25" s="83">
        <v>1357</v>
      </c>
    </row>
    <row r="26" spans="1:8" x14ac:dyDescent="0.25">
      <c r="A26" s="83">
        <v>25</v>
      </c>
      <c r="B26" s="86" t="s">
        <v>52</v>
      </c>
      <c r="C26" s="35" t="s">
        <v>28</v>
      </c>
      <c r="D26" s="35">
        <v>4</v>
      </c>
      <c r="E26" s="85"/>
      <c r="F26" s="85"/>
      <c r="G26" s="85"/>
      <c r="H26" s="83">
        <v>1357</v>
      </c>
    </row>
    <row r="27" spans="1:8" x14ac:dyDescent="0.25">
      <c r="A27" s="83">
        <v>26</v>
      </c>
      <c r="B27" s="86" t="s">
        <v>53</v>
      </c>
      <c r="C27" s="35" t="s">
        <v>28</v>
      </c>
      <c r="D27" s="35">
        <v>15</v>
      </c>
      <c r="E27" s="85"/>
      <c r="F27" s="85"/>
      <c r="G27" s="85"/>
      <c r="H27" s="83">
        <v>1357</v>
      </c>
    </row>
    <row r="28" spans="1:8" x14ac:dyDescent="0.25">
      <c r="A28" s="83">
        <v>27</v>
      </c>
      <c r="B28" s="86" t="s">
        <v>54</v>
      </c>
      <c r="C28" s="35" t="s">
        <v>28</v>
      </c>
      <c r="D28" s="35">
        <v>20</v>
      </c>
      <c r="E28" s="85"/>
      <c r="F28" s="85"/>
      <c r="G28" s="85"/>
      <c r="H28" s="83">
        <v>1357</v>
      </c>
    </row>
    <row r="29" spans="1:8" x14ac:dyDescent="0.25">
      <c r="A29" s="83">
        <v>28</v>
      </c>
      <c r="B29" s="86" t="s">
        <v>55</v>
      </c>
      <c r="C29" s="35" t="s">
        <v>28</v>
      </c>
      <c r="D29" s="35">
        <v>24</v>
      </c>
      <c r="E29" s="85"/>
      <c r="F29" s="85"/>
      <c r="G29" s="85"/>
      <c r="H29" s="83">
        <v>1357</v>
      </c>
    </row>
    <row r="30" spans="1:8" x14ac:dyDescent="0.25">
      <c r="A30" s="83">
        <v>29</v>
      </c>
      <c r="B30" s="86" t="s">
        <v>56</v>
      </c>
      <c r="C30" s="35" t="s">
        <v>28</v>
      </c>
      <c r="D30" s="35">
        <v>6</v>
      </c>
      <c r="E30" s="85"/>
      <c r="F30" s="85"/>
      <c r="G30" s="85"/>
      <c r="H30" s="83">
        <v>1357</v>
      </c>
    </row>
    <row r="31" spans="1:8" x14ac:dyDescent="0.25">
      <c r="A31" s="83">
        <v>30</v>
      </c>
      <c r="B31" s="86" t="s">
        <v>57</v>
      </c>
      <c r="C31" s="35" t="s">
        <v>28</v>
      </c>
      <c r="D31" s="35">
        <v>6</v>
      </c>
      <c r="E31" s="85"/>
      <c r="F31" s="85"/>
      <c r="G31" s="85"/>
      <c r="H31" s="83">
        <v>1357</v>
      </c>
    </row>
    <row r="32" spans="1:8" ht="33" customHeight="1" x14ac:dyDescent="0.25">
      <c r="A32" s="83">
        <v>31</v>
      </c>
      <c r="B32" s="84" t="s">
        <v>58</v>
      </c>
      <c r="C32" s="35" t="s">
        <v>28</v>
      </c>
      <c r="D32" s="35">
        <v>24</v>
      </c>
      <c r="E32" s="85"/>
      <c r="F32" s="85"/>
      <c r="G32" s="85"/>
      <c r="H32" s="83">
        <v>1357</v>
      </c>
    </row>
    <row r="33" spans="1:8" s="56" customFormat="1" ht="57.75" customHeight="1" x14ac:dyDescent="0.25">
      <c r="A33" s="81"/>
      <c r="B33" s="82"/>
      <c r="C33" s="82"/>
      <c r="D33" s="82"/>
      <c r="E33" s="82"/>
      <c r="F33" s="82"/>
      <c r="G33" s="82"/>
      <c r="H33" s="82"/>
    </row>
    <row r="34" spans="1:8" ht="15" hidden="1" customHeight="1" x14ac:dyDescent="0.25">
      <c r="A34" s="52"/>
      <c r="B34" s="54"/>
      <c r="C34" s="80"/>
      <c r="D34" s="52"/>
      <c r="E34" s="56"/>
      <c r="F34" s="56"/>
      <c r="G34" s="56"/>
      <c r="H34" s="52"/>
    </row>
    <row r="35" spans="1:8" ht="15" hidden="1" customHeight="1" x14ac:dyDescent="0.25">
      <c r="A35" s="52"/>
      <c r="B35" s="54"/>
      <c r="C35" s="80"/>
      <c r="D35" s="52"/>
      <c r="E35" s="56"/>
      <c r="F35" s="56"/>
      <c r="G35" s="56"/>
      <c r="H35" s="52"/>
    </row>
    <row r="36" spans="1:8" ht="15" hidden="1" customHeight="1" x14ac:dyDescent="0.25">
      <c r="A36" s="52"/>
      <c r="B36" s="54"/>
      <c r="C36" s="80"/>
      <c r="D36" s="52"/>
      <c r="E36" s="56"/>
      <c r="F36" s="56"/>
      <c r="G36" s="56"/>
      <c r="H36" s="52"/>
    </row>
    <row r="37" spans="1:8" ht="15" hidden="1" customHeight="1" x14ac:dyDescent="0.25">
      <c r="A37" s="52"/>
      <c r="B37" s="54"/>
      <c r="C37" s="80"/>
      <c r="D37" s="52"/>
      <c r="E37" s="56"/>
      <c r="F37" s="56"/>
      <c r="G37" s="56"/>
      <c r="H37" s="52"/>
    </row>
    <row r="38" spans="1:8" ht="15" hidden="1" customHeight="1" x14ac:dyDescent="0.25">
      <c r="A38" s="52"/>
      <c r="B38" s="54"/>
      <c r="C38" s="80"/>
      <c r="D38" s="52"/>
      <c r="E38" s="56"/>
      <c r="F38" s="56"/>
      <c r="G38" s="56"/>
      <c r="H38" s="52"/>
    </row>
    <row r="39" spans="1:8" ht="15" hidden="1" customHeight="1" x14ac:dyDescent="0.25">
      <c r="A39" s="52"/>
      <c r="B39" s="54"/>
      <c r="C39" s="80"/>
      <c r="D39" s="52"/>
      <c r="E39" s="56"/>
      <c r="F39" s="56"/>
      <c r="G39" s="56"/>
      <c r="H39" s="52"/>
    </row>
    <row r="40" spans="1:8" ht="15.75" hidden="1" customHeight="1" thickBot="1" x14ac:dyDescent="0.3">
      <c r="A40" s="53"/>
      <c r="B40" s="55"/>
      <c r="C40" s="79"/>
      <c r="D40" s="53"/>
      <c r="E40" s="57"/>
      <c r="F40" s="57"/>
      <c r="G40" s="57"/>
      <c r="H40" s="53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</dc:creator>
  <cp:lastModifiedBy>Dell</cp:lastModifiedBy>
  <cp:lastPrinted>2025-08-19T14:38:48Z</cp:lastPrinted>
  <dcterms:created xsi:type="dcterms:W3CDTF">2021-03-18T15:08:59Z</dcterms:created>
  <dcterms:modified xsi:type="dcterms:W3CDTF">2025-08-22T09:38:57Z</dcterms:modified>
</cp:coreProperties>
</file>