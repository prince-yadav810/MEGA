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LD DATA\Mega Quotation - Copy\"/>
    </mc:Choice>
  </mc:AlternateContent>
  <xr:revisionPtr revIDLastSave="0" documentId="13_ncr:1_{71F19FFF-2BD3-4047-9B00-5BD2B7918E74}" xr6:coauthVersionLast="47" xr6:coauthVersionMax="47" xr10:uidLastSave="{00000000-0000-0000-0000-000000000000}"/>
  <bookViews>
    <workbookView xWindow="1116" yWindow="1116" windowWidth="21600" windowHeight="11100" xr2:uid="{00000000-000D-0000-FFFF-FFFF00000000}"/>
  </bookViews>
  <sheets>
    <sheet name="Sheet1" sheetId="4" r:id="rId1"/>
    <sheet name="Sheet2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4" l="1"/>
  <c r="H43" i="4" l="1"/>
</calcChain>
</file>

<file path=xl/sharedStrings.xml><?xml version="1.0" encoding="utf-8"?>
<sst xmlns="http://schemas.openxmlformats.org/spreadsheetml/2006/main" count="73" uniqueCount="55">
  <si>
    <t>MEGA ENTERPRISE</t>
  </si>
  <si>
    <t>REF NO</t>
  </si>
  <si>
    <t>TO,</t>
  </si>
  <si>
    <t>DATE</t>
  </si>
  <si>
    <t xml:space="preserve"> </t>
  </si>
  <si>
    <t>Sr No</t>
  </si>
  <si>
    <t>DISCRIPTION</t>
  </si>
  <si>
    <t>QTY</t>
  </si>
  <si>
    <t>UNIT</t>
  </si>
  <si>
    <t>RATE</t>
  </si>
  <si>
    <t>PER</t>
  </si>
  <si>
    <t>GST</t>
  </si>
  <si>
    <t>AMOUNT (EXCL GST)</t>
  </si>
  <si>
    <r>
      <rPr>
        <b/>
        <sz val="13"/>
        <rFont val="Cambria"/>
        <family val="1"/>
        <scheme val="major"/>
      </rPr>
      <t>For,</t>
    </r>
    <r>
      <rPr>
        <b/>
        <sz val="12"/>
        <rFont val="Cambria"/>
        <family val="1"/>
        <scheme val="major"/>
      </rPr>
      <t xml:space="preserve"> Mega Enterprise.</t>
    </r>
  </si>
  <si>
    <t>GST EXTRA AS APPLICABLE</t>
  </si>
  <si>
    <t>Authorised Signatory.</t>
  </si>
  <si>
    <t>GST NO: 27DRGPD9065L1ZA</t>
  </si>
  <si>
    <t>Q U O T A T I O N</t>
  </si>
  <si>
    <t>MOB. NO. 7506070157</t>
  </si>
  <si>
    <t>1ST LEVEL, PLOT NO PAP-57, MIDC WATER TANK, MIDC TALOJA, NAVI MUMBAI -410208</t>
  </si>
  <si>
    <t>TOTAL</t>
  </si>
  <si>
    <t>Discription</t>
  </si>
  <si>
    <t>UOM</t>
  </si>
  <si>
    <t>Qty</t>
  </si>
  <si>
    <t>Rate</t>
  </si>
  <si>
    <t>Pickaxe with Handle</t>
  </si>
  <si>
    <t>NO</t>
  </si>
  <si>
    <t>632526-Hose Clamp 63.5mm - 120mm</t>
  </si>
  <si>
    <t>SPARK LIGHTER STONE</t>
  </si>
  <si>
    <t>48mm 50m 60-70mm Micron Grey Duct Tape</t>
  </si>
  <si>
    <t>ROL</t>
  </si>
  <si>
    <t>HOSE,SUCTION,4IN</t>
  </si>
  <si>
    <t>M</t>
  </si>
  <si>
    <t>ALUMINIUM STRAIGHT EDGE,6 FT LENGTH</t>
  </si>
  <si>
    <t>ABRASIVE,STONE,CARBORUNDUM</t>
  </si>
  <si>
    <t>BAR-DIGGING-IRON</t>
  </si>
  <si>
    <t>CONNECTOR-6IN</t>
  </si>
  <si>
    <t>CLAMP-SWVL-MS</t>
  </si>
  <si>
    <t>HOSE-SUCTION/PIPE-PVC-6IN</t>
  </si>
  <si>
    <t>WOOD-BATTEN</t>
  </si>
  <si>
    <t>JUBLEE CLAMP 3"</t>
  </si>
  <si>
    <t>TANK,STORAGE,WATER,1000L,SINTEX</t>
  </si>
  <si>
    <t>Centrifugal Pump - 01 HP - Crompton greeves</t>
  </si>
  <si>
    <t>Bank Name: IDBI BANK</t>
  </si>
  <si>
    <t>A/c No.: 0047102000009430</t>
  </si>
  <si>
    <t>Branch: MIDC TALOJA</t>
  </si>
  <si>
    <t>IFS Code: IBKL0000047</t>
  </si>
  <si>
    <t>PAYMENT IMMEDIATE</t>
  </si>
  <si>
    <t>OFFER VALIDITY 1 WEEK</t>
  </si>
  <si>
    <t>TRANSPORT EXTRA</t>
  </si>
  <si>
    <t>TERMS &amp; CONDITIONS</t>
  </si>
  <si>
    <t>NOS</t>
  </si>
  <si>
    <t>J KUMAR INFRAPROJECTS LTD</t>
  </si>
  <si>
    <t>SS BOLT &amp; WASHER - 1 SET, 10MM X 40MM (GRADE 304)</t>
  </si>
  <si>
    <t>07.08.2025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</si>
</sst>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mbria"/>
      <family val="1"/>
      <scheme val="major"/>
    </font>
    <font>
      <b/>
      <sz val="14"/>
      <name val="Cambria"/>
      <family val="1"/>
      <scheme val="major"/>
    </font>
    <font>
      <b/>
      <sz val="9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rgb="FF000000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name val="Calibri"/>
      <family val="2"/>
      <scheme val="minor"/>
    </font>
    <font>
      <sz val="10"/>
      <name val="Cambria"/>
      <family val="1"/>
      <scheme val="major"/>
    </font>
    <font>
      <b/>
      <sz val="12"/>
      <name val="Cambria"/>
      <family val="1"/>
      <scheme val="major"/>
    </font>
    <font>
      <b/>
      <sz val="13"/>
      <name val="Cambria"/>
      <family val="1"/>
      <scheme val="major"/>
    </font>
    <font>
      <sz val="11"/>
      <name val="Cambria"/>
      <family val="1"/>
      <scheme val="major"/>
    </font>
    <font>
      <sz val="12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222222"/>
      <name val="Calibri"/>
      <family val="2"/>
      <scheme val="minor"/>
    </font>
    <font>
      <b/>
      <sz val="14"/>
      <name val="Arial Unicode MS"/>
      <family val="2"/>
    </font>
    <font>
      <b/>
      <sz val="11"/>
      <color rgb="FF222222"/>
      <name val="Cambria"/>
      <family val="1"/>
      <scheme val="major"/>
    </font>
    <font>
      <b/>
      <sz val="57"/>
      <name val="Arial Unicode MS"/>
      <family val="2"/>
    </font>
    <font>
      <sz val="10"/>
      <name val="Verdana"/>
      <family val="2"/>
    </font>
    <font>
      <sz val="10"/>
      <color rgb="FF222222"/>
      <name val="Verdana"/>
      <family val="2"/>
    </font>
    <font>
      <sz val="10"/>
      <color theme="1"/>
      <name val="Verdana"/>
      <family val="2"/>
    </font>
    <font>
      <sz val="9"/>
      <name val="Verdana"/>
      <family val="2"/>
    </font>
    <font>
      <sz val="9"/>
      <color rgb="FF222222"/>
      <name val="Verdana"/>
      <family val="2"/>
    </font>
    <font>
      <sz val="9"/>
      <color theme="1"/>
      <name val="Verdana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2222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 wrapText="1"/>
    </xf>
    <xf numFmtId="2" fontId="13" fillId="0" borderId="4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2" fontId="13" fillId="0" borderId="1" xfId="0" applyNumberFormat="1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 wrapText="1"/>
    </xf>
    <xf numFmtId="9" fontId="8" fillId="3" borderId="14" xfId="0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2" fontId="16" fillId="3" borderId="18" xfId="0" applyNumberFormat="1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2" fontId="8" fillId="0" borderId="19" xfId="0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9" fontId="8" fillId="3" borderId="15" xfId="0" applyNumberFormat="1" applyFont="1" applyFill="1" applyBorder="1" applyAlignment="1">
      <alignment horizontal="center" vertical="center" wrapText="1"/>
    </xf>
    <xf numFmtId="2" fontId="8" fillId="3" borderId="17" xfId="0" applyNumberFormat="1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/>
    </xf>
    <xf numFmtId="2" fontId="0" fillId="0" borderId="0" xfId="0" applyNumberFormat="1"/>
    <xf numFmtId="0" fontId="21" fillId="0" borderId="21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/>
    </xf>
    <xf numFmtId="9" fontId="21" fillId="3" borderId="15" xfId="0" applyNumberFormat="1" applyFont="1" applyFill="1" applyBorder="1" applyAlignment="1">
      <alignment horizontal="center" vertical="center" wrapText="1"/>
    </xf>
    <xf numFmtId="2" fontId="21" fillId="3" borderId="17" xfId="0" applyNumberFormat="1" applyFont="1" applyFill="1" applyBorder="1" applyAlignment="1">
      <alignment horizontal="center" vertical="center" wrapText="1"/>
    </xf>
    <xf numFmtId="0" fontId="22" fillId="3" borderId="14" xfId="0" applyFont="1" applyFill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2" fontId="21" fillId="0" borderId="14" xfId="0" applyNumberFormat="1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7" fillId="0" borderId="0" xfId="0" applyFont="1"/>
    <xf numFmtId="2" fontId="24" fillId="3" borderId="17" xfId="0" applyNumberFormat="1" applyFont="1" applyFill="1" applyBorder="1" applyAlignment="1">
      <alignment horizontal="right" vertical="center" wrapText="1"/>
    </xf>
    <xf numFmtId="0" fontId="26" fillId="0" borderId="0" xfId="0" applyFont="1"/>
    <xf numFmtId="0" fontId="25" fillId="3" borderId="14" xfId="0" applyFont="1" applyFill="1" applyBorder="1" applyAlignment="1">
      <alignment vertical="center"/>
    </xf>
    <xf numFmtId="0" fontId="25" fillId="3" borderId="14" xfId="0" applyFont="1" applyFill="1" applyBorder="1" applyAlignment="1">
      <alignment horizontal="center" vertical="center"/>
    </xf>
    <xf numFmtId="0" fontId="26" fillId="0" borderId="14" xfId="0" applyFont="1" applyBorder="1"/>
    <xf numFmtId="0" fontId="24" fillId="0" borderId="25" xfId="0" applyFont="1" applyBorder="1" applyAlignment="1">
      <alignment horizontal="center" vertical="center" wrapText="1"/>
    </xf>
    <xf numFmtId="0" fontId="25" fillId="3" borderId="14" xfId="0" applyFont="1" applyFill="1" applyBorder="1" applyAlignment="1">
      <alignment vertical="center" wrapText="1"/>
    </xf>
    <xf numFmtId="1" fontId="26" fillId="0" borderId="14" xfId="0" applyNumberFormat="1" applyFont="1" applyBorder="1" applyAlignment="1">
      <alignment horizontal="center" vertical="center" wrapText="1"/>
    </xf>
    <xf numFmtId="0" fontId="28" fillId="0" borderId="26" xfId="0" applyFont="1" applyBorder="1" applyAlignment="1">
      <alignment horizontal="left" vertical="top" wrapText="1"/>
    </xf>
    <xf numFmtId="0" fontId="28" fillId="0" borderId="27" xfId="0" applyFont="1" applyBorder="1" applyAlignment="1">
      <alignment horizontal="left" vertical="top" wrapText="1"/>
    </xf>
    <xf numFmtId="0" fontId="29" fillId="3" borderId="27" xfId="0" applyFont="1" applyFill="1" applyBorder="1" applyAlignment="1">
      <alignment horizontal="left" vertical="top" wrapText="1"/>
    </xf>
    <xf numFmtId="0" fontId="27" fillId="0" borderId="27" xfId="0" applyFont="1" applyBorder="1" applyAlignment="1">
      <alignment horizontal="left" vertical="center" wrapText="1"/>
    </xf>
    <xf numFmtId="0" fontId="28" fillId="0" borderId="18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5" fillId="0" borderId="14" xfId="0" applyFont="1" applyBorder="1"/>
    <xf numFmtId="0" fontId="2" fillId="0" borderId="11" xfId="0" applyFont="1" applyBorder="1" applyAlignment="1">
      <alignment horizontal="left" vertical="center"/>
    </xf>
    <xf numFmtId="0" fontId="25" fillId="3" borderId="28" xfId="0" applyFont="1" applyFill="1" applyBorder="1" applyAlignment="1">
      <alignment horizontal="center" vertical="center"/>
    </xf>
    <xf numFmtId="9" fontId="24" fillId="3" borderId="15" xfId="0" applyNumberFormat="1" applyFont="1" applyFill="1" applyBorder="1" applyAlignment="1">
      <alignment horizontal="center" vertical="center" wrapText="1"/>
    </xf>
    <xf numFmtId="0" fontId="19" fillId="0" borderId="9" xfId="0" applyFont="1" applyBorder="1" applyAlignment="1">
      <alignment wrapText="1"/>
    </xf>
    <xf numFmtId="0" fontId="2" fillId="0" borderId="29" xfId="0" applyFont="1" applyBorder="1" applyAlignment="1">
      <alignment horizontal="center" vertical="center"/>
    </xf>
    <xf numFmtId="0" fontId="25" fillId="3" borderId="30" xfId="0" applyFont="1" applyFill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9" fontId="24" fillId="3" borderId="14" xfId="0" applyNumberFormat="1" applyFont="1" applyFill="1" applyBorder="1" applyAlignment="1">
      <alignment horizontal="center" vertical="center" wrapText="1"/>
    </xf>
    <xf numFmtId="0" fontId="25" fillId="3" borderId="15" xfId="0" applyFont="1" applyFill="1" applyBorder="1" applyAlignment="1">
      <alignment horizontal="center" vertical="center"/>
    </xf>
    <xf numFmtId="1" fontId="25" fillId="3" borderId="30" xfId="0" applyNumberFormat="1" applyFont="1" applyFill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0" fillId="0" borderId="10" xfId="0" applyFont="1" applyBorder="1" applyAlignment="1">
      <alignment horizontal="right" wrapText="1"/>
    </xf>
    <xf numFmtId="0" fontId="10" fillId="0" borderId="3" xfId="0" applyFont="1" applyBorder="1" applyAlignment="1">
      <alignment horizontal="right" wrapText="1"/>
    </xf>
    <xf numFmtId="2" fontId="13" fillId="0" borderId="1" xfId="0" applyNumberFormat="1" applyFont="1" applyBorder="1" applyAlignment="1">
      <alignment horizontal="right" vertical="center" wrapText="1"/>
    </xf>
    <xf numFmtId="2" fontId="13" fillId="0" borderId="6" xfId="0" applyNumberFormat="1" applyFont="1" applyBorder="1" applyAlignment="1">
      <alignment horizontal="right" vertical="center" wrapText="1"/>
    </xf>
    <xf numFmtId="9" fontId="16" fillId="3" borderId="22" xfId="0" applyNumberFormat="1" applyFont="1" applyFill="1" applyBorder="1" applyAlignment="1">
      <alignment horizontal="center" vertical="center" wrapText="1"/>
    </xf>
    <xf numFmtId="9" fontId="16" fillId="3" borderId="23" xfId="0" applyNumberFormat="1" applyFont="1" applyFill="1" applyBorder="1" applyAlignment="1">
      <alignment horizontal="center" vertical="center" wrapText="1"/>
    </xf>
    <xf numFmtId="0" fontId="25" fillId="0" borderId="3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185733</xdr:colOff>
      <xdr:row>10</xdr:row>
      <xdr:rowOff>34027</xdr:rowOff>
    </xdr:from>
    <xdr:ext cx="722462" cy="316303"/>
    <xdr:sp macro="" textlink="">
      <xdr:nvSpPr>
        <xdr:cNvPr id="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577202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10</xdr:row>
      <xdr:rowOff>34027</xdr:rowOff>
    </xdr:from>
    <xdr:ext cx="722462" cy="316303"/>
    <xdr:sp macro="" textlink="">
      <xdr:nvSpPr>
        <xdr:cNvPr id="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577202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12</xdr:row>
      <xdr:rowOff>34027</xdr:rowOff>
    </xdr:from>
    <xdr:ext cx="722462" cy="316303"/>
    <xdr:sp macro="" textlink="">
      <xdr:nvSpPr>
        <xdr:cNvPr id="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CEF5691-D550-4A74-B135-3102B7081C5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5562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12</xdr:row>
      <xdr:rowOff>34027</xdr:rowOff>
    </xdr:from>
    <xdr:ext cx="722462" cy="316303"/>
    <xdr:sp macro="" textlink="">
      <xdr:nvSpPr>
        <xdr:cNvPr id="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CFCCD6B-C0C0-42C7-9888-C4E34018E8F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5562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14</xdr:row>
      <xdr:rowOff>34027</xdr:rowOff>
    </xdr:from>
    <xdr:ext cx="722462" cy="316303"/>
    <xdr:sp macro="" textlink="">
      <xdr:nvSpPr>
        <xdr:cNvPr id="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8565E16-65A5-4D90-867A-D23CB3E31BC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5562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14</xdr:row>
      <xdr:rowOff>34027</xdr:rowOff>
    </xdr:from>
    <xdr:ext cx="722462" cy="316303"/>
    <xdr:sp macro="" textlink="">
      <xdr:nvSpPr>
        <xdr:cNvPr id="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CD6F435-6CD3-4B36-B74E-90B21ABA58B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5562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16</xdr:row>
      <xdr:rowOff>34027</xdr:rowOff>
    </xdr:from>
    <xdr:ext cx="722462" cy="316303"/>
    <xdr:sp macro="" textlink="">
      <xdr:nvSpPr>
        <xdr:cNvPr id="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D1A8D23-6E86-4039-937D-4A4C9FFA455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5562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16</xdr:row>
      <xdr:rowOff>34027</xdr:rowOff>
    </xdr:from>
    <xdr:ext cx="722462" cy="316303"/>
    <xdr:sp macro="" textlink="">
      <xdr:nvSpPr>
        <xdr:cNvPr id="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2961387-AD9D-4FC9-90E6-9C02402C47C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5562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18</xdr:row>
      <xdr:rowOff>34027</xdr:rowOff>
    </xdr:from>
    <xdr:ext cx="722462" cy="316303"/>
    <xdr:sp macro="" textlink="">
      <xdr:nvSpPr>
        <xdr:cNvPr id="1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1D12A23-888A-41E8-B700-E33BCD2D545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5562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18</xdr:row>
      <xdr:rowOff>34027</xdr:rowOff>
    </xdr:from>
    <xdr:ext cx="722462" cy="316303"/>
    <xdr:sp macro="" textlink="">
      <xdr:nvSpPr>
        <xdr:cNvPr id="1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7154F3D-1A08-4CF1-BC76-0EFFE0C2CB1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5562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zoomScaleNormal="100" workbookViewId="0">
      <selection activeCell="E6" sqref="E6"/>
    </sheetView>
  </sheetViews>
  <sheetFormatPr defaultRowHeight="14.4"/>
  <cols>
    <col min="1" max="1" width="5.6640625" customWidth="1"/>
    <col min="2" max="2" width="44.33203125" customWidth="1"/>
    <col min="3" max="3" width="7.109375" customWidth="1"/>
    <col min="4" max="4" width="5.44140625" bestFit="1" customWidth="1"/>
    <col min="5" max="5" width="11.44140625" bestFit="1" customWidth="1"/>
    <col min="6" max="6" width="5.44140625" bestFit="1" customWidth="1"/>
    <col min="7" max="7" width="7.33203125" customWidth="1"/>
    <col min="8" max="8" width="11.33203125" customWidth="1"/>
    <col min="11" max="11" width="28.33203125" bestFit="1" customWidth="1"/>
  </cols>
  <sheetData>
    <row r="1" spans="1:11" ht="15" customHeight="1">
      <c r="A1" s="86" t="s">
        <v>17</v>
      </c>
      <c r="B1" s="86"/>
      <c r="C1" s="86"/>
      <c r="D1" s="86"/>
      <c r="E1" s="86"/>
      <c r="F1" s="86"/>
      <c r="G1" s="86"/>
      <c r="H1" s="86"/>
    </row>
    <row r="2" spans="1:11" ht="50.4" customHeight="1">
      <c r="A2" s="87" t="s">
        <v>0</v>
      </c>
      <c r="B2" s="87"/>
      <c r="C2" s="87"/>
      <c r="D2" s="87"/>
      <c r="E2" s="87"/>
      <c r="F2" s="87"/>
      <c r="G2" s="87"/>
      <c r="H2" s="87"/>
    </row>
    <row r="3" spans="1:11" ht="15" thickBot="1">
      <c r="A3" s="88" t="s">
        <v>19</v>
      </c>
      <c r="B3" s="88"/>
      <c r="C3" s="88"/>
      <c r="D3" s="88"/>
      <c r="E3" s="88"/>
      <c r="F3" s="89" t="s">
        <v>18</v>
      </c>
      <c r="G3" s="89"/>
      <c r="H3" s="89"/>
    </row>
    <row r="4" spans="1:11">
      <c r="A4" s="27"/>
      <c r="B4" s="70"/>
      <c r="C4" s="28" t="s">
        <v>1</v>
      </c>
      <c r="D4" s="28"/>
      <c r="E4" s="29">
        <v>27770</v>
      </c>
      <c r="F4" s="28"/>
      <c r="G4" s="28"/>
      <c r="H4" s="1"/>
    </row>
    <row r="5" spans="1:11" ht="17.399999999999999">
      <c r="A5" s="3" t="s">
        <v>2</v>
      </c>
      <c r="B5" s="69" t="s">
        <v>52</v>
      </c>
      <c r="C5" s="64" t="s">
        <v>3</v>
      </c>
      <c r="D5" s="4"/>
      <c r="E5" s="5" t="s">
        <v>54</v>
      </c>
      <c r="F5" s="4"/>
      <c r="G5" s="4"/>
      <c r="H5" s="2"/>
    </row>
    <row r="6" spans="1:11" ht="15" thickBot="1">
      <c r="A6" s="6"/>
      <c r="B6" s="66"/>
      <c r="C6" s="64"/>
      <c r="D6" s="7"/>
      <c r="E6" s="8" t="s">
        <v>4</v>
      </c>
      <c r="F6" s="9"/>
      <c r="G6" s="9"/>
      <c r="H6" s="10"/>
    </row>
    <row r="7" spans="1:11" ht="28.2" thickBot="1">
      <c r="A7" s="73" t="s">
        <v>5</v>
      </c>
      <c r="B7" s="74" t="s">
        <v>6</v>
      </c>
      <c r="C7" s="11" t="s">
        <v>7</v>
      </c>
      <c r="D7" s="70" t="s">
        <v>8</v>
      </c>
      <c r="E7" s="75" t="s">
        <v>9</v>
      </c>
      <c r="F7" s="76" t="s">
        <v>10</v>
      </c>
      <c r="G7" s="11" t="s">
        <v>11</v>
      </c>
      <c r="H7" s="12" t="s">
        <v>12</v>
      </c>
    </row>
    <row r="8" spans="1:11" ht="22.8">
      <c r="A8" s="82">
        <v>1</v>
      </c>
      <c r="B8" s="96" t="s">
        <v>53</v>
      </c>
      <c r="C8" s="78">
        <v>15000</v>
      </c>
      <c r="D8" s="71" t="s">
        <v>51</v>
      </c>
      <c r="E8" s="79">
        <v>13</v>
      </c>
      <c r="F8" s="71" t="s">
        <v>51</v>
      </c>
      <c r="G8" s="68">
        <v>0.18</v>
      </c>
      <c r="H8" s="51">
        <f>C8*E8</f>
        <v>195000</v>
      </c>
      <c r="K8" s="41"/>
    </row>
    <row r="9" spans="1:11">
      <c r="A9" s="80"/>
      <c r="B9" s="65"/>
      <c r="C9" s="54"/>
      <c r="D9" s="54"/>
      <c r="E9" s="58"/>
      <c r="F9" s="54"/>
      <c r="G9" s="77"/>
      <c r="H9" s="51"/>
      <c r="K9" s="41"/>
    </row>
    <row r="10" spans="1:11">
      <c r="A10" s="81"/>
      <c r="B10" s="65"/>
      <c r="C10" s="67"/>
      <c r="D10" s="54"/>
      <c r="E10" s="58"/>
      <c r="F10" s="54"/>
      <c r="G10" s="68"/>
      <c r="H10" s="51"/>
      <c r="K10" s="41"/>
    </row>
    <row r="11" spans="1:11">
      <c r="A11" s="56"/>
      <c r="B11" s="65"/>
      <c r="C11" s="54"/>
      <c r="D11" s="54"/>
      <c r="E11" s="58"/>
      <c r="F11" s="54"/>
      <c r="G11" s="68"/>
      <c r="H11" s="51"/>
      <c r="K11" s="41"/>
    </row>
    <row r="12" spans="1:11">
      <c r="A12" s="81"/>
      <c r="B12" s="65"/>
      <c r="C12" s="54"/>
      <c r="D12" s="54"/>
      <c r="E12" s="58"/>
      <c r="F12" s="54"/>
      <c r="G12" s="68"/>
      <c r="H12" s="51"/>
      <c r="K12" s="41"/>
    </row>
    <row r="13" spans="1:11">
      <c r="A13" s="56"/>
      <c r="B13" s="65"/>
      <c r="C13" s="54"/>
      <c r="D13" s="54"/>
      <c r="E13" s="58"/>
      <c r="F13" s="54"/>
      <c r="G13" s="68"/>
      <c r="H13" s="51"/>
      <c r="K13" s="41"/>
    </row>
    <row r="14" spans="1:11">
      <c r="A14" s="81"/>
      <c r="B14" s="53"/>
      <c r="C14" s="54"/>
      <c r="D14" s="54"/>
      <c r="E14" s="58"/>
      <c r="F14" s="54"/>
      <c r="G14" s="68"/>
      <c r="H14" s="51"/>
    </row>
    <row r="15" spans="1:11">
      <c r="A15" s="56"/>
      <c r="B15" s="65"/>
      <c r="C15" s="54"/>
      <c r="D15" s="54"/>
      <c r="E15" s="58"/>
      <c r="F15" s="54"/>
      <c r="G15" s="68"/>
      <c r="H15" s="51"/>
    </row>
    <row r="16" spans="1:11">
      <c r="A16" s="81"/>
      <c r="B16" s="65"/>
      <c r="C16" s="54"/>
      <c r="D16" s="54"/>
      <c r="E16" s="58"/>
      <c r="F16" s="54"/>
      <c r="G16" s="68"/>
      <c r="H16" s="51"/>
    </row>
    <row r="17" spans="1:8">
      <c r="A17" s="56"/>
      <c r="B17" s="65"/>
      <c r="C17" s="54"/>
      <c r="D17" s="54"/>
      <c r="E17" s="58"/>
      <c r="F17" s="54"/>
      <c r="G17" s="68"/>
      <c r="H17" s="51"/>
    </row>
    <row r="18" spans="1:8">
      <c r="A18" s="81"/>
      <c r="B18" s="53"/>
      <c r="C18" s="54"/>
      <c r="D18" s="54"/>
      <c r="E18" s="58"/>
      <c r="F18" s="54"/>
      <c r="G18" s="68"/>
      <c r="H18" s="51"/>
    </row>
    <row r="19" spans="1:8">
      <c r="A19" s="56"/>
      <c r="B19" s="53"/>
      <c r="C19" s="54"/>
      <c r="D19" s="54"/>
      <c r="E19" s="58"/>
      <c r="F19" s="54"/>
      <c r="G19" s="68"/>
      <c r="H19" s="51"/>
    </row>
    <row r="20" spans="1:8">
      <c r="A20" s="56"/>
      <c r="B20" s="53"/>
      <c r="C20" s="54"/>
      <c r="D20" s="54"/>
      <c r="E20" s="58"/>
      <c r="F20" s="54"/>
      <c r="G20" s="44"/>
      <c r="H20" s="51"/>
    </row>
    <row r="21" spans="1:8">
      <c r="A21" s="49"/>
      <c r="B21" s="53"/>
      <c r="C21" s="54"/>
      <c r="D21" s="54"/>
      <c r="E21" s="58"/>
      <c r="F21" s="54"/>
      <c r="G21" s="44"/>
      <c r="H21" s="51"/>
    </row>
    <row r="22" spans="1:8" s="50" customFormat="1">
      <c r="A22" s="56"/>
      <c r="B22" s="53"/>
      <c r="C22" s="54"/>
      <c r="D22" s="54"/>
      <c r="E22" s="58"/>
      <c r="F22" s="54"/>
      <c r="G22" s="44"/>
      <c r="H22" s="51"/>
    </row>
    <row r="23" spans="1:8">
      <c r="A23" s="49"/>
      <c r="B23" s="53"/>
      <c r="C23" s="54"/>
      <c r="D23" s="54"/>
      <c r="E23" s="58"/>
      <c r="F23" s="54"/>
      <c r="G23" s="44"/>
      <c r="H23" s="51"/>
    </row>
    <row r="24" spans="1:8">
      <c r="A24" s="56"/>
      <c r="B24" s="53"/>
      <c r="C24" s="54"/>
      <c r="D24" s="54"/>
      <c r="E24" s="58"/>
      <c r="F24" s="54"/>
      <c r="G24" s="44"/>
      <c r="H24" s="51"/>
    </row>
    <row r="25" spans="1:8">
      <c r="A25" s="49"/>
      <c r="B25" s="53"/>
      <c r="C25" s="54"/>
      <c r="D25" s="54"/>
      <c r="E25" s="58"/>
      <c r="F25" s="54"/>
      <c r="G25" s="44"/>
      <c r="H25" s="51"/>
    </row>
    <row r="26" spans="1:8">
      <c r="A26" s="72"/>
      <c r="B26" s="53"/>
      <c r="C26" s="54"/>
      <c r="D26" s="54"/>
      <c r="E26" s="58"/>
      <c r="F26" s="54"/>
      <c r="G26" s="44"/>
      <c r="H26" s="51"/>
    </row>
    <row r="27" spans="1:8">
      <c r="A27" s="56"/>
      <c r="B27" s="53"/>
      <c r="C27" s="54"/>
      <c r="D27" s="54"/>
      <c r="E27" s="58"/>
      <c r="F27" s="54"/>
      <c r="G27" s="44"/>
      <c r="H27" s="51"/>
    </row>
    <row r="28" spans="1:8">
      <c r="A28" s="56"/>
      <c r="B28" s="53"/>
      <c r="C28" s="54"/>
      <c r="D28" s="54"/>
      <c r="E28" s="58"/>
      <c r="F28" s="54"/>
      <c r="G28" s="44"/>
      <c r="H28" s="51"/>
    </row>
    <row r="29" spans="1:8">
      <c r="A29" s="56"/>
      <c r="B29" s="57"/>
      <c r="C29" s="54"/>
      <c r="D29" s="54"/>
      <c r="E29" s="58"/>
      <c r="F29" s="54"/>
      <c r="G29" s="44"/>
      <c r="H29" s="51"/>
    </row>
    <row r="30" spans="1:8">
      <c r="A30" s="42"/>
      <c r="B30" s="46"/>
      <c r="C30" s="47"/>
      <c r="D30" s="43"/>
      <c r="E30" s="48"/>
      <c r="F30" s="43"/>
      <c r="G30" s="44"/>
      <c r="H30" s="45"/>
    </row>
    <row r="31" spans="1:8">
      <c r="A31" s="42"/>
      <c r="B31" s="46"/>
      <c r="C31" s="47"/>
      <c r="D31" s="43"/>
      <c r="E31" s="48"/>
      <c r="F31" s="43"/>
      <c r="G31" s="44"/>
      <c r="H31" s="45"/>
    </row>
    <row r="32" spans="1:8">
      <c r="A32" s="42"/>
      <c r="B32" s="46"/>
      <c r="C32" s="47"/>
      <c r="D32" s="43"/>
      <c r="E32" s="48"/>
      <c r="F32" s="43"/>
      <c r="G32" s="44"/>
      <c r="H32" s="45"/>
    </row>
    <row r="33" spans="1:8">
      <c r="A33" s="42"/>
      <c r="B33" s="46"/>
      <c r="C33" s="47"/>
      <c r="D33" s="43"/>
      <c r="E33" s="48"/>
      <c r="F33" s="43"/>
      <c r="G33" s="44"/>
      <c r="H33" s="45"/>
    </row>
    <row r="34" spans="1:8" ht="15.6">
      <c r="A34" s="35"/>
      <c r="B34" s="38"/>
      <c r="C34" s="39"/>
      <c r="D34" s="40"/>
      <c r="E34" s="25"/>
      <c r="F34" s="40"/>
      <c r="G34" s="36"/>
      <c r="H34" s="37"/>
    </row>
    <row r="35" spans="1:8" ht="15.6">
      <c r="A35" s="35"/>
      <c r="B35" s="38"/>
      <c r="C35" s="39"/>
      <c r="D35" s="40"/>
      <c r="E35" s="25"/>
      <c r="F35" s="40"/>
      <c r="G35" s="36"/>
      <c r="H35" s="37"/>
    </row>
    <row r="36" spans="1:8" ht="15.6">
      <c r="A36" s="35"/>
      <c r="B36" s="38"/>
      <c r="C36" s="39"/>
      <c r="D36" s="40"/>
      <c r="E36" s="25"/>
      <c r="F36" s="40"/>
      <c r="G36" s="36"/>
      <c r="H36" s="37"/>
    </row>
    <row r="37" spans="1:8" ht="15.6">
      <c r="A37" s="35"/>
      <c r="B37" s="38"/>
      <c r="C37" s="39"/>
      <c r="D37" s="40"/>
      <c r="E37" s="25"/>
      <c r="F37" s="40"/>
      <c r="G37" s="36"/>
      <c r="H37" s="37"/>
    </row>
    <row r="38" spans="1:8" ht="16.2" thickBot="1">
      <c r="A38" s="35"/>
      <c r="B38" s="38"/>
      <c r="C38" s="39"/>
      <c r="D38" s="40"/>
      <c r="E38" s="25"/>
      <c r="F38" s="40"/>
      <c r="G38" s="36"/>
      <c r="H38" s="37"/>
    </row>
    <row r="39" spans="1:8" ht="15.6">
      <c r="A39" s="35"/>
      <c r="B39" s="59" t="s">
        <v>0</v>
      </c>
      <c r="C39" s="39"/>
      <c r="D39" s="40"/>
      <c r="E39" s="25"/>
      <c r="F39" s="40"/>
      <c r="G39" s="36"/>
      <c r="H39" s="37"/>
    </row>
    <row r="40" spans="1:8" ht="15.6">
      <c r="A40" s="35"/>
      <c r="B40" s="60" t="s">
        <v>43</v>
      </c>
      <c r="C40" s="39"/>
      <c r="D40" s="40"/>
      <c r="E40" s="25"/>
      <c r="F40" s="40"/>
      <c r="G40" s="36"/>
      <c r="H40" s="37"/>
    </row>
    <row r="41" spans="1:8" ht="15.6">
      <c r="A41" s="35"/>
      <c r="B41" s="61" t="s">
        <v>44</v>
      </c>
      <c r="C41" s="39"/>
      <c r="D41" s="40"/>
      <c r="E41" s="25"/>
      <c r="F41" s="40"/>
      <c r="G41" s="36"/>
      <c r="H41" s="37"/>
    </row>
    <row r="42" spans="1:8" ht="15.6">
      <c r="A42" s="35"/>
      <c r="B42" s="62" t="s">
        <v>45</v>
      </c>
      <c r="C42" s="39"/>
      <c r="D42" s="39"/>
      <c r="E42" s="25"/>
      <c r="F42" s="39"/>
      <c r="G42" s="26"/>
      <c r="H42" s="37"/>
    </row>
    <row r="43" spans="1:8" ht="16.2" thickBot="1">
      <c r="A43" s="32"/>
      <c r="B43" s="63" t="s">
        <v>46</v>
      </c>
      <c r="C43" s="33"/>
      <c r="D43" s="33"/>
      <c r="E43" s="34"/>
      <c r="F43" s="94" t="s">
        <v>20</v>
      </c>
      <c r="G43" s="95"/>
      <c r="H43" s="31">
        <f>SUM(H8:H33)</f>
        <v>195000</v>
      </c>
    </row>
    <row r="44" spans="1:8" ht="15.6">
      <c r="A44" s="13"/>
      <c r="B44" s="14" t="s">
        <v>50</v>
      </c>
      <c r="C44" s="15"/>
      <c r="D44" s="14"/>
      <c r="E44" s="90" t="s">
        <v>13</v>
      </c>
      <c r="F44" s="90"/>
      <c r="G44" s="90"/>
      <c r="H44" s="91"/>
    </row>
    <row r="45" spans="1:8" ht="15">
      <c r="A45" s="13"/>
      <c r="B45" s="17" t="s">
        <v>14</v>
      </c>
      <c r="C45" s="15"/>
      <c r="D45" s="14"/>
      <c r="E45" s="16"/>
      <c r="F45" s="30"/>
      <c r="G45" s="15"/>
      <c r="H45" s="18"/>
    </row>
    <row r="46" spans="1:8" ht="15">
      <c r="A46" s="13"/>
      <c r="B46" s="17" t="s">
        <v>47</v>
      </c>
      <c r="C46" s="15"/>
      <c r="D46" s="14"/>
      <c r="E46" s="16"/>
      <c r="F46" s="30"/>
      <c r="G46" s="15"/>
      <c r="H46" s="18"/>
    </row>
    <row r="47" spans="1:8" ht="15">
      <c r="A47" s="13"/>
      <c r="B47" s="17" t="s">
        <v>48</v>
      </c>
      <c r="C47" s="15"/>
      <c r="D47" s="14"/>
      <c r="E47" s="16"/>
      <c r="F47" s="30"/>
      <c r="G47" s="15"/>
      <c r="H47" s="18"/>
    </row>
    <row r="48" spans="1:8" ht="15">
      <c r="A48" s="13"/>
      <c r="B48" s="17" t="s">
        <v>49</v>
      </c>
      <c r="C48" s="19"/>
      <c r="D48" s="19"/>
      <c r="E48" s="20"/>
      <c r="F48" s="19"/>
      <c r="G48" s="19"/>
      <c r="H48" s="21"/>
    </row>
    <row r="49" spans="1:8" ht="15.6" thickBot="1">
      <c r="A49" s="22"/>
      <c r="B49" s="23"/>
      <c r="C49" s="24"/>
      <c r="D49" s="24"/>
      <c r="E49" s="92" t="s">
        <v>15</v>
      </c>
      <c r="F49" s="92"/>
      <c r="G49" s="92"/>
      <c r="H49" s="93"/>
    </row>
    <row r="50" spans="1:8" ht="18" thickBot="1">
      <c r="A50" s="83" t="s">
        <v>16</v>
      </c>
      <c r="B50" s="84"/>
      <c r="C50" s="84"/>
      <c r="D50" s="84"/>
      <c r="E50" s="84"/>
      <c r="F50" s="84"/>
      <c r="G50" s="84"/>
      <c r="H50" s="85"/>
    </row>
  </sheetData>
  <mergeCells count="8">
    <mergeCell ref="A50:H50"/>
    <mergeCell ref="A1:H1"/>
    <mergeCell ref="A2:H2"/>
    <mergeCell ref="A3:E3"/>
    <mergeCell ref="F3:H3"/>
    <mergeCell ref="E44:H44"/>
    <mergeCell ref="E49:H49"/>
    <mergeCell ref="F43:G43"/>
  </mergeCells>
  <pageMargins left="0.28999999999999998" right="0.22" top="0.22" bottom="0.25" header="0.24" footer="0.23"/>
  <pageSetup paperSize="9" scale="9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B2" sqref="B2:B18"/>
    </sheetView>
  </sheetViews>
  <sheetFormatPr defaultRowHeight="14.4"/>
  <cols>
    <col min="1" max="1" width="39.109375" style="52" bestFit="1" customWidth="1"/>
    <col min="2" max="4" width="8.88671875" style="52"/>
  </cols>
  <sheetData>
    <row r="1" spans="1:4">
      <c r="A1" s="53" t="s">
        <v>21</v>
      </c>
      <c r="B1" s="53" t="s">
        <v>22</v>
      </c>
      <c r="C1" s="53" t="s">
        <v>23</v>
      </c>
      <c r="D1" s="53" t="s">
        <v>24</v>
      </c>
    </row>
    <row r="2" spans="1:4">
      <c r="A2" s="53" t="s">
        <v>25</v>
      </c>
      <c r="B2" s="54" t="s">
        <v>26</v>
      </c>
      <c r="C2" s="54">
        <v>20</v>
      </c>
      <c r="D2" s="53"/>
    </row>
    <row r="3" spans="1:4">
      <c r="A3" s="53" t="s">
        <v>27</v>
      </c>
      <c r="B3" s="54" t="s">
        <v>26</v>
      </c>
      <c r="C3" s="54">
        <v>20</v>
      </c>
      <c r="D3" s="53"/>
    </row>
    <row r="4" spans="1:4">
      <c r="A4" s="53" t="s">
        <v>28</v>
      </c>
      <c r="B4" s="54" t="s">
        <v>26</v>
      </c>
      <c r="C4" s="54">
        <v>20</v>
      </c>
      <c r="D4" s="53"/>
    </row>
    <row r="5" spans="1:4">
      <c r="A5" s="53" t="s">
        <v>29</v>
      </c>
      <c r="B5" s="54" t="s">
        <v>30</v>
      </c>
      <c r="C5" s="54">
        <v>30</v>
      </c>
      <c r="D5" s="53"/>
    </row>
    <row r="6" spans="1:4">
      <c r="A6" s="53" t="s">
        <v>31</v>
      </c>
      <c r="B6" s="54" t="s">
        <v>32</v>
      </c>
      <c r="C6" s="54">
        <v>200</v>
      </c>
      <c r="D6" s="53"/>
    </row>
    <row r="7" spans="1:4">
      <c r="A7" s="53" t="s">
        <v>33</v>
      </c>
      <c r="B7" s="54" t="s">
        <v>26</v>
      </c>
      <c r="C7" s="54">
        <v>10</v>
      </c>
      <c r="D7" s="53"/>
    </row>
    <row r="8" spans="1:4">
      <c r="A8" s="53" t="s">
        <v>34</v>
      </c>
      <c r="B8" s="54" t="s">
        <v>26</v>
      </c>
      <c r="C8" s="54">
        <v>50</v>
      </c>
      <c r="D8" s="53"/>
    </row>
    <row r="9" spans="1:4">
      <c r="A9" s="53" t="s">
        <v>35</v>
      </c>
      <c r="B9" s="54" t="s">
        <v>26</v>
      </c>
      <c r="C9" s="54">
        <v>20</v>
      </c>
      <c r="D9" s="53"/>
    </row>
    <row r="10" spans="1:4">
      <c r="A10" s="53" t="s">
        <v>36</v>
      </c>
      <c r="B10" s="54" t="s">
        <v>26</v>
      </c>
      <c r="C10" s="54">
        <v>10</v>
      </c>
      <c r="D10" s="53"/>
    </row>
    <row r="11" spans="1:4">
      <c r="A11" s="53" t="s">
        <v>37</v>
      </c>
      <c r="B11" s="54" t="s">
        <v>26</v>
      </c>
      <c r="C11" s="54">
        <v>500</v>
      </c>
      <c r="D11" s="53"/>
    </row>
    <row r="12" spans="1:4">
      <c r="A12" s="53" t="s">
        <v>38</v>
      </c>
      <c r="B12" s="54" t="s">
        <v>32</v>
      </c>
      <c r="C12" s="54">
        <v>200</v>
      </c>
      <c r="D12" s="53"/>
    </row>
    <row r="13" spans="1:4">
      <c r="A13" s="53" t="s">
        <v>39</v>
      </c>
      <c r="B13" s="54" t="s">
        <v>26</v>
      </c>
      <c r="C13" s="54">
        <v>500</v>
      </c>
      <c r="D13" s="53"/>
    </row>
    <row r="14" spans="1:4">
      <c r="A14" s="53" t="s">
        <v>40</v>
      </c>
      <c r="B14" s="54" t="s">
        <v>26</v>
      </c>
      <c r="C14" s="54">
        <v>100</v>
      </c>
      <c r="D14" s="53"/>
    </row>
    <row r="15" spans="1:4">
      <c r="A15" s="53" t="s">
        <v>33</v>
      </c>
      <c r="B15" s="54" t="s">
        <v>26</v>
      </c>
      <c r="C15" s="54">
        <v>9</v>
      </c>
      <c r="D15" s="53"/>
    </row>
    <row r="16" spans="1:4">
      <c r="A16" s="53" t="s">
        <v>41</v>
      </c>
      <c r="B16" s="54" t="s">
        <v>26</v>
      </c>
      <c r="C16" s="54">
        <v>4</v>
      </c>
      <c r="D16" s="53"/>
    </row>
    <row r="17" spans="1:4">
      <c r="A17" s="53" t="s">
        <v>41</v>
      </c>
      <c r="B17" s="54" t="s">
        <v>26</v>
      </c>
      <c r="C17" s="54">
        <v>24</v>
      </c>
      <c r="D17" s="53"/>
    </row>
    <row r="18" spans="1:4">
      <c r="A18" s="53" t="s">
        <v>42</v>
      </c>
      <c r="B18" s="54" t="s">
        <v>26</v>
      </c>
      <c r="C18" s="54">
        <v>10</v>
      </c>
      <c r="D18" s="53"/>
    </row>
    <row r="19" spans="1:4">
      <c r="A19" s="55"/>
      <c r="B19" s="55"/>
      <c r="C19" s="55"/>
      <c r="D19" s="5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</dc:creator>
  <cp:lastModifiedBy>Nirmal Dewasi</cp:lastModifiedBy>
  <cp:lastPrinted>2025-08-07T14:12:10Z</cp:lastPrinted>
  <dcterms:created xsi:type="dcterms:W3CDTF">2021-03-18T15:08:59Z</dcterms:created>
  <dcterms:modified xsi:type="dcterms:W3CDTF">2025-08-07T14:12:49Z</dcterms:modified>
</cp:coreProperties>
</file>