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8_{2E6901F5-B74A-4A0C-A0AA-081A4C8BE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heet2" sheetId="16" r:id="rId2"/>
  </sheets>
  <definedNames>
    <definedName name="_xlnm.Print_Area" localSheetId="0">Sheet1!$A$1:$H$47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40" i="4" l="1"/>
</calcChain>
</file>

<file path=xl/sharedStrings.xml><?xml version="1.0" encoding="utf-8"?>
<sst xmlns="http://schemas.openxmlformats.org/spreadsheetml/2006/main" count="54" uniqueCount="47">
  <si>
    <t>MEGA ENTERPRISE</t>
  </si>
  <si>
    <t>REF NO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</si>
  <si>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</si>
  <si>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</si>
  <si>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</si>
  <si>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</si>
  <si>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</si>
  <si>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</si>
  <si>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</si>
  <si>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</si>
  <si>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</si>
  <si>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</si>
  <si>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</si>
  <si>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</si>
  <si>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</si>
  <si>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</si>
  <si>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</si>
  <si>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</si>
  <si>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</si>
  <si>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</si>
  <si>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</si>
  <si>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 xml:space="preserve"> </t>
  </si>
  <si>
    <t>For, Mega Enterprise.</t>
  </si>
  <si>
    <t>QUOTATION</t>
  </si>
  <si>
    <t>GST EXTRA AS APPLICABLE</t>
  </si>
  <si>
    <t>VALIDITY 1 WEEK</t>
  </si>
  <si>
    <t xml:space="preserve"> TOTAL</t>
  </si>
  <si>
    <t>AFCONS INFRASTRUCTURE</t>
  </si>
  <si>
    <t>PAYMENT 30 DAYS</t>
  </si>
  <si>
    <t>ap Code</t>
  </si>
  <si>
    <t>Material Description</t>
  </si>
  <si>
    <t>Uom</t>
  </si>
  <si>
    <t>Qty</t>
  </si>
  <si>
    <t>Remarks</t>
  </si>
  <si>
    <t>Star Head Screw 6mm x 2"</t>
  </si>
  <si>
    <t>Nos</t>
  </si>
  <si>
    <t>Star Bit For Above 6mm</t>
  </si>
  <si>
    <t>Wooden Drill Bit 32mm</t>
  </si>
  <si>
    <t>Wooden Drill Bit 25mm</t>
  </si>
  <si>
    <t>Self Taping Screw 8x40mm Long</t>
  </si>
  <si>
    <t> Pvc Pipe 1"</t>
  </si>
  <si>
    <t>Rmtr</t>
  </si>
  <si>
    <t xml:space="preserve">  Specifications:-         size- 8ft x 6ft with 1 nos door, 2 nos window, 2 LED Light, 1 ceiling fan</t>
  </si>
  <si>
    <t>NOS</t>
  </si>
  <si>
    <t>DELIVERY CHARGE EXTRA</t>
  </si>
  <si>
    <t>04.09.2025</t>
  </si>
  <si>
    <t>32"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</si>
</sst>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5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Aptos"/>
      <family val="2"/>
    </font>
    <font>
      <b/>
      <sz val="10"/>
      <color rgb="FF000000"/>
      <name val="Verdana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2D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09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2" fontId="11" fillId="3" borderId="12" xfId="0" applyNumberFormat="1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 wrapText="1"/>
    </xf>
    <xf numFmtId="9" fontId="11" fillId="3" borderId="8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9" fontId="11" fillId="3" borderId="23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43" fontId="11" fillId="3" borderId="26" xfId="0" applyNumberFormat="1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4" fillId="3" borderId="26" xfId="0" applyFont="1" applyFill="1" applyBorder="1" applyAlignment="1">
      <alignment horizontal="left" vertical="top" wrapText="1"/>
    </xf>
    <xf numFmtId="0" fontId="18" fillId="3" borderId="8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43" fontId="13" fillId="3" borderId="18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wrapText="1"/>
    </xf>
    <xf numFmtId="2" fontId="19" fillId="0" borderId="12" xfId="0" applyNumberFormat="1" applyFont="1" applyBorder="1" applyAlignment="1">
      <alignment horizontal="center" vertical="center" wrapText="1"/>
    </xf>
    <xf numFmtId="9" fontId="19" fillId="0" borderId="8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0" fillId="3" borderId="8" xfId="0" applyFont="1" applyFill="1" applyBorder="1" applyAlignment="1">
      <alignment vertical="center" wrapText="1"/>
    </xf>
    <xf numFmtId="0" fontId="20" fillId="3" borderId="22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22" fillId="4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 indent="1"/>
    </xf>
    <xf numFmtId="0" fontId="18" fillId="3" borderId="34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9" fontId="17" fillId="0" borderId="8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8" fillId="0" borderId="0" xfId="0" applyFont="1"/>
    <xf numFmtId="0" fontId="18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3" fillId="3" borderId="16" xfId="0" applyNumberFormat="1" applyFont="1" applyFill="1" applyBorder="1" applyAlignment="1">
      <alignment horizontal="center" vertical="center" wrapText="1"/>
    </xf>
    <xf numFmtId="9" fontId="13" fillId="3" borderId="1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right" wrapText="1"/>
    </xf>
    <xf numFmtId="0" fontId="13" fillId="0" borderId="3" xfId="0" applyFont="1" applyBorder="1" applyAlignment="1">
      <alignment horizontal="right" wrapText="1"/>
    </xf>
    <xf numFmtId="2" fontId="11" fillId="0" borderId="1" xfId="0" applyNumberFormat="1" applyFont="1" applyBorder="1" applyAlignment="1">
      <alignment horizontal="right" vertical="center" wrapText="1"/>
    </xf>
    <xf numFmtId="2" fontId="11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438509</xdr:colOff>
      <xdr:row>34</xdr:row>
      <xdr:rowOff>0</xdr:rowOff>
    </xdr:from>
    <xdr:to>
      <xdr:col>1</xdr:col>
      <xdr:colOff>1911290</xdr:colOff>
      <xdr:row>41</xdr:row>
      <xdr:rowOff>63576</xdr:rowOff>
    </xdr:to>
    <xdr:sp macro="" textlink="">
      <xdr:nvSpPr>
        <xdr:cNvPr id="2" name="AutoShape 1" descr="https://mail.google.com/mail/u/0?ui=2&amp;ik=014f390daa&amp;attid=0.5&amp;permmsgid=msg-f:1775288436669348769&amp;th=18a3176d6188fba1&amp;view=fimg&amp;fur=ip&amp;sz=s0-l75-ft&amp;attbid=ANGjdJ-XTiLzcu11rl-qrUBTYtXEauOsUfBk2AgQu9UIyuCRwkRDmwCQMJlEdct8TUi-Ac7VnI9jPyFxF_jiOzgLu7Q5BUTi8EN0Ni-Z30a0Ym3FLlgKGuPIob6N-AY&amp;disp=em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15915" y="2527899"/>
          <a:ext cx="1472781" cy="13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704850</xdr:colOff>
      <xdr:row>37</xdr:row>
      <xdr:rowOff>34787</xdr:rowOff>
    </xdr:to>
    <xdr:sp macro="" textlink="">
      <xdr:nvSpPr>
        <xdr:cNvPr id="10" name="AutoShape 4" descr="https://mail.google.com/mail/u/0?ui=2&amp;ik=014f390daa&amp;attid=0.13&amp;permmsgid=msg-f:1789684153102645801&amp;th=18d63c414dd43a29&amp;view=fimg&amp;fur=ip&amp;sz=s0-l75-ft&amp;attbid=ANGjdJ9eD6B3aR7OBqMQg7pNxTj1pzSoHGomqKCBl6dxCq-hi3gb9-wTIxt6SNqAEyhc2H4dVlIY8SYJ0nVkrZ4gC-mZ1MwZx8JOcTXZoV9yVmmBKJXPNK-VQd3ooFM&amp;disp=emb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9686925"/>
          <a:ext cx="7048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990600</xdr:colOff>
      <xdr:row>36</xdr:row>
      <xdr:rowOff>149479</xdr:rowOff>
    </xdr:to>
    <xdr:sp macro="" textlink="">
      <xdr:nvSpPr>
        <xdr:cNvPr id="11" name="AutoShape 5" descr="https://mail.google.com/mail/u/0?ui=2&amp;ik=014f390daa&amp;attid=0.14&amp;permmsgid=msg-f:1789684153102645801&amp;th=18d63c414dd43a29&amp;view=fimg&amp;fur=ip&amp;sz=s0-l75-ft&amp;attbid=ANGjdJ9r0rgnwtXMVp7Ax9yzJAIeOQNmMtIU_FUuempx_eXfQyIM9M2BLoNepb5ksWuq5Onelc9OzGse0vKYCEqeEEaS2oLLWssTugWF422OtB0t4CrACWvqvlaoMio&amp;disp=emb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258425"/>
          <a:ext cx="990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762000</xdr:colOff>
      <xdr:row>36</xdr:row>
      <xdr:rowOff>149479</xdr:rowOff>
    </xdr:to>
    <xdr:sp macro="" textlink="">
      <xdr:nvSpPr>
        <xdr:cNvPr id="12" name="AutoShape 6" descr="https://mail.google.com/mail/u/0?ui=2&amp;ik=014f390daa&amp;attid=0.15&amp;permmsgid=msg-f:1789684153102645801&amp;th=18d63c414dd43a29&amp;view=fimg&amp;fur=ip&amp;sz=s0-l75-ft&amp;attbid=ANGjdJ988AyqXP_kUq2fgtchCrIF-XrkESEEHlz9AcOBPsUIou9WSblFXkPv4SgsjOfIkuRWRF6w6rJ1qWzPxDzt3Gh3XigWMzjWESp8L9bMUHhlPUQU0Trs2Sg25Dc&amp;disp=emb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829925"/>
          <a:ext cx="7620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1190312</xdr:colOff>
      <xdr:row>34</xdr:row>
      <xdr:rowOff>0</xdr:rowOff>
    </xdr:from>
    <xdr:to>
      <xdr:col>1</xdr:col>
      <xdr:colOff>1504949</xdr:colOff>
      <xdr:row>35</xdr:row>
      <xdr:rowOff>94727</xdr:rowOff>
    </xdr:to>
    <xdr:sp macro="" textlink="">
      <xdr:nvSpPr>
        <xdr:cNvPr id="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46462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3</xdr:col>
      <xdr:colOff>387881</xdr:colOff>
      <xdr:row>40</xdr:row>
      <xdr:rowOff>157650</xdr:rowOff>
    </xdr:to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1882356" y="3917829"/>
          <a:ext cx="1947105" cy="129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1531906</xdr:colOff>
      <xdr:row>34</xdr:row>
      <xdr:rowOff>0</xdr:rowOff>
    </xdr:from>
    <xdr:to>
      <xdr:col>1</xdr:col>
      <xdr:colOff>2073545</xdr:colOff>
      <xdr:row>37</xdr:row>
      <xdr:rowOff>169428</xdr:rowOff>
    </xdr:to>
    <xdr:sp macro="" textlink="">
      <xdr:nvSpPr>
        <xdr:cNvPr id="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909312" y="2516037"/>
          <a:ext cx="541639" cy="72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1</xdr:col>
      <xdr:colOff>1713856</xdr:colOff>
      <xdr:row>34</xdr:row>
      <xdr:rowOff>89859</xdr:rowOff>
    </xdr:to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246462"/>
          <a:ext cx="208906" cy="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187036</xdr:rowOff>
    </xdr:to>
    <xdr:sp macro="" textlink="">
      <xdr:nvSpPr>
        <xdr:cNvPr id="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34</xdr:row>
      <xdr:rowOff>0</xdr:rowOff>
    </xdr:from>
    <xdr:to>
      <xdr:col>1</xdr:col>
      <xdr:colOff>1896014</xdr:colOff>
      <xdr:row>35</xdr:row>
      <xdr:rowOff>33581</xdr:rowOff>
    </xdr:to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192548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40</xdr:row>
      <xdr:rowOff>28765</xdr:rowOff>
    </xdr:to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180747</xdr:rowOff>
    </xdr:to>
    <xdr:sp macro="" textlink="">
      <xdr:nvSpPr>
        <xdr:cNvPr id="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144624</xdr:rowOff>
    </xdr:to>
    <xdr:sp macro="" textlink="">
      <xdr:nvSpPr>
        <xdr:cNvPr id="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1190312</xdr:colOff>
      <xdr:row>34</xdr:row>
      <xdr:rowOff>0</xdr:rowOff>
    </xdr:from>
    <xdr:ext cx="314637" cy="287547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82406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1504950</xdr:colOff>
      <xdr:row>34</xdr:row>
      <xdr:rowOff>0</xdr:rowOff>
    </xdr:from>
    <xdr:ext cx="391064" cy="226401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318350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120362</xdr:rowOff>
    </xdr:to>
    <xdr:sp macro="" textlink="">
      <xdr:nvSpPr>
        <xdr:cNvPr id="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39</xdr:row>
      <xdr:rowOff>72737</xdr:rowOff>
    </xdr:to>
    <xdr:sp macro="" textlink="">
      <xdr:nvSpPr>
        <xdr:cNvPr id="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1504950</xdr:colOff>
      <xdr:row>40</xdr:row>
      <xdr:rowOff>54768</xdr:rowOff>
    </xdr:to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835683</xdr:colOff>
      <xdr:row>34</xdr:row>
      <xdr:rowOff>0</xdr:rowOff>
    </xdr:from>
    <xdr:to>
      <xdr:col>1</xdr:col>
      <xdr:colOff>2337039</xdr:colOff>
      <xdr:row>38</xdr:row>
      <xdr:rowOff>149478</xdr:rowOff>
    </xdr:to>
    <xdr:sp macro="" textlink="">
      <xdr:nvSpPr>
        <xdr:cNvPr id="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13089" y="1958915"/>
          <a:ext cx="1501356" cy="896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458277</xdr:colOff>
      <xdr:row>34</xdr:row>
      <xdr:rowOff>0</xdr:rowOff>
    </xdr:from>
    <xdr:ext cx="718868" cy="314505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835683" y="3998702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602053</xdr:colOff>
      <xdr:row>34</xdr:row>
      <xdr:rowOff>0</xdr:rowOff>
    </xdr:from>
    <xdr:ext cx="718868" cy="314505"/>
    <xdr:sp macro="" textlink="">
      <xdr:nvSpPr>
        <xdr:cNvPr id="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4501911" y="39366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1284976</xdr:colOff>
      <xdr:row>34</xdr:row>
      <xdr:rowOff>0</xdr:rowOff>
    </xdr:from>
    <xdr:ext cx="718868" cy="314505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662382" y="436855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718868" cy="314505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34</xdr:row>
      <xdr:rowOff>0</xdr:rowOff>
    </xdr:from>
    <xdr:ext cx="1501356" cy="1165645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584029" y="3064173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718868" cy="314505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1501356" cy="1165645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495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17</xdr:row>
      <xdr:rowOff>34027</xdr:rowOff>
    </xdr:from>
    <xdr:ext cx="722462" cy="316303"/>
    <xdr:sp macro="" textlink="">
      <xdr:nvSpPr>
        <xdr:cNvPr id="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949505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10" zoomScaleNormal="110" workbookViewId="0">
      <selection activeCell="B12" sqref="B12"/>
    </sheetView>
  </sheetViews>
  <sheetFormatPr defaultRowHeight="14.4"/>
  <cols>
    <col min="1" max="1" width="5.6640625" customWidth="1"/>
    <col min="2" max="2" width="38.44140625" customWidth="1"/>
    <col min="3" max="3" width="7.5546875" bestFit="1" customWidth="1"/>
    <col min="4" max="4" width="6.88671875" customWidth="1"/>
    <col min="5" max="5" width="11" customWidth="1"/>
    <col min="6" max="6" width="6.44140625" customWidth="1"/>
    <col min="7" max="7" width="6.5546875" bestFit="1" customWidth="1"/>
    <col min="8" max="8" width="14.33203125" bestFit="1" customWidth="1"/>
  </cols>
  <sheetData>
    <row r="1" spans="1:8" ht="15" customHeight="1">
      <c r="A1" s="105" t="s">
        <v>23</v>
      </c>
      <c r="B1" s="105"/>
      <c r="C1" s="105"/>
      <c r="D1" s="105"/>
      <c r="E1" s="105"/>
      <c r="F1" s="105"/>
      <c r="G1" s="105"/>
      <c r="H1" s="105"/>
    </row>
    <row r="2" spans="1:8" ht="46.5" customHeight="1">
      <c r="A2" s="106" t="s">
        <v>0</v>
      </c>
      <c r="B2" s="106"/>
      <c r="C2" s="106"/>
      <c r="D2" s="106"/>
      <c r="E2" s="106"/>
      <c r="F2" s="106"/>
      <c r="G2" s="106"/>
      <c r="H2" s="106"/>
    </row>
    <row r="3" spans="1:8" ht="15" thickBot="1">
      <c r="A3" s="107" t="s">
        <v>16</v>
      </c>
      <c r="B3" s="107"/>
      <c r="C3" s="107"/>
      <c r="D3" s="107"/>
      <c r="E3" s="107"/>
      <c r="F3" s="108" t="s">
        <v>15</v>
      </c>
      <c r="G3" s="108"/>
      <c r="H3" s="108"/>
    </row>
    <row r="4" spans="1:8">
      <c r="A4" s="11"/>
      <c r="B4" s="12"/>
      <c r="C4" s="13" t="s">
        <v>1</v>
      </c>
      <c r="D4" s="13"/>
      <c r="E4" s="14">
        <v>27796</v>
      </c>
      <c r="F4" s="13"/>
      <c r="G4" s="13"/>
      <c r="H4" s="12"/>
    </row>
    <row r="5" spans="1:8" ht="17.399999999999999">
      <c r="A5" s="2" t="s">
        <v>2</v>
      </c>
      <c r="B5" s="68" t="s">
        <v>27</v>
      </c>
      <c r="C5" s="10" t="s">
        <v>3</v>
      </c>
      <c r="D5" s="3"/>
      <c r="E5" s="4" t="s">
        <v>45</v>
      </c>
      <c r="F5" s="3"/>
      <c r="G5" s="3"/>
      <c r="H5" s="1"/>
    </row>
    <row r="6" spans="1:8" ht="15" thickBot="1">
      <c r="A6" s="5"/>
      <c r="B6" s="63"/>
      <c r="C6" s="6"/>
      <c r="D6" s="6"/>
      <c r="E6" s="7"/>
      <c r="F6" s="8"/>
      <c r="G6" s="8"/>
      <c r="H6" s="9"/>
    </row>
    <row r="7" spans="1:8" ht="28.2" thickBot="1">
      <c r="A7" s="60" t="s">
        <v>4</v>
      </c>
      <c r="B7" s="70" t="s">
        <v>5</v>
      </c>
      <c r="C7" s="59" t="s">
        <v>6</v>
      </c>
      <c r="D7" s="59" t="s">
        <v>7</v>
      </c>
      <c r="E7" s="60" t="s">
        <v>8</v>
      </c>
      <c r="F7" s="61" t="s">
        <v>9</v>
      </c>
      <c r="G7" s="59" t="s">
        <v>10</v>
      </c>
      <c r="H7" s="60" t="s">
        <v>11</v>
      </c>
    </row>
    <row r="8" spans="1:8">
      <c r="A8" s="86">
        <v>1</v>
      </c>
      <c r="B8" s="94" t="s">
        <v>46</v>
      </c>
      <c r="C8" s="57">
        <v>4</v>
      </c>
      <c r="D8" s="87" t="s">
        <v>43</v>
      </c>
      <c r="E8" s="88">
        <v>18500</v>
      </c>
      <c r="F8" s="87" t="s">
        <v>43</v>
      </c>
      <c r="G8" s="89">
        <v>0.18</v>
      </c>
      <c r="H8" s="90">
        <f>E8*C8</f>
        <v>74000</v>
      </c>
    </row>
    <row r="9" spans="1:8">
      <c r="A9" s="91"/>
      <c r="B9" s="95"/>
      <c r="C9" s="83"/>
      <c r="D9" s="92"/>
      <c r="E9" s="93"/>
      <c r="F9" s="92"/>
      <c r="G9" s="89"/>
      <c r="H9" s="90"/>
    </row>
    <row r="10" spans="1:8">
      <c r="A10" s="72"/>
      <c r="B10" s="82"/>
      <c r="C10" s="83"/>
      <c r="D10" s="74"/>
      <c r="E10" s="67"/>
      <c r="F10" s="74"/>
      <c r="G10" s="66"/>
      <c r="H10" s="90"/>
    </row>
    <row r="11" spans="1:8">
      <c r="A11" s="72"/>
      <c r="B11" s="82"/>
      <c r="C11" s="83"/>
      <c r="D11" s="74"/>
      <c r="E11" s="67"/>
      <c r="F11" s="74"/>
      <c r="G11" s="66"/>
      <c r="H11" s="90"/>
    </row>
    <row r="12" spans="1:8">
      <c r="A12" s="72"/>
      <c r="B12" s="82"/>
      <c r="C12" s="57"/>
      <c r="D12" s="75"/>
      <c r="E12" s="67"/>
      <c r="F12" s="75"/>
      <c r="G12" s="66"/>
      <c r="H12" s="90"/>
    </row>
    <row r="13" spans="1:8">
      <c r="A13" s="72"/>
      <c r="B13" s="82"/>
      <c r="C13" s="57"/>
      <c r="D13" s="57"/>
      <c r="E13" s="69"/>
      <c r="F13" s="57"/>
      <c r="G13" s="66"/>
      <c r="H13" s="90"/>
    </row>
    <row r="14" spans="1:8">
      <c r="A14" s="72"/>
      <c r="B14" s="71"/>
      <c r="C14" s="57"/>
      <c r="D14" s="57"/>
      <c r="E14" s="69"/>
      <c r="F14" s="57"/>
      <c r="G14" s="66"/>
      <c r="H14" s="90"/>
    </row>
    <row r="15" spans="1:8">
      <c r="A15" s="72"/>
      <c r="B15" s="71"/>
      <c r="C15" s="57"/>
      <c r="D15" s="57"/>
      <c r="E15" s="69"/>
      <c r="F15" s="57"/>
      <c r="G15" s="66"/>
      <c r="H15" s="65"/>
    </row>
    <row r="16" spans="1:8">
      <c r="A16" s="72"/>
      <c r="B16" s="71"/>
      <c r="C16" s="57"/>
      <c r="D16" s="57"/>
      <c r="E16" s="67"/>
      <c r="F16" s="57"/>
      <c r="G16" s="66"/>
      <c r="H16" s="65"/>
    </row>
    <row r="17" spans="1:8">
      <c r="A17" s="72"/>
      <c r="B17" s="71"/>
      <c r="C17" s="57"/>
      <c r="D17" s="57"/>
      <c r="E17" s="67"/>
      <c r="F17" s="57"/>
      <c r="G17" s="66"/>
      <c r="H17" s="65"/>
    </row>
    <row r="18" spans="1:8">
      <c r="A18" s="72"/>
      <c r="B18" s="71"/>
      <c r="C18" s="57"/>
      <c r="D18" s="57"/>
      <c r="E18" s="67"/>
      <c r="F18" s="57"/>
      <c r="G18" s="66"/>
      <c r="H18" s="65"/>
    </row>
    <row r="19" spans="1:8">
      <c r="A19" s="72"/>
      <c r="B19" s="71"/>
      <c r="C19" s="57"/>
      <c r="D19" s="57"/>
      <c r="E19" s="67"/>
      <c r="F19" s="57"/>
      <c r="G19" s="66"/>
      <c r="H19" s="65"/>
    </row>
    <row r="20" spans="1:8">
      <c r="A20" s="72"/>
      <c r="B20" s="71"/>
      <c r="C20" s="57"/>
      <c r="D20" s="57"/>
      <c r="E20" s="64"/>
      <c r="F20" s="57"/>
      <c r="G20" s="66"/>
      <c r="H20" s="65"/>
    </row>
    <row r="21" spans="1:8">
      <c r="A21" s="72"/>
      <c r="B21" s="71"/>
      <c r="C21" s="57"/>
      <c r="D21" s="57"/>
      <c r="E21" s="64"/>
      <c r="F21" s="57"/>
      <c r="G21" s="66"/>
      <c r="H21" s="65"/>
    </row>
    <row r="22" spans="1:8">
      <c r="A22" s="72"/>
      <c r="B22" s="71"/>
      <c r="C22" s="57"/>
      <c r="D22" s="57"/>
      <c r="E22" s="64"/>
      <c r="F22" s="57"/>
      <c r="G22" s="66"/>
      <c r="H22" s="65"/>
    </row>
    <row r="23" spans="1:8">
      <c r="A23" s="72"/>
      <c r="B23" s="71"/>
      <c r="C23" s="57"/>
      <c r="D23" s="57"/>
      <c r="E23" s="64"/>
      <c r="F23" s="57"/>
      <c r="G23" s="66"/>
      <c r="H23" s="65"/>
    </row>
    <row r="24" spans="1:8">
      <c r="A24" s="72"/>
      <c r="B24" s="71"/>
      <c r="C24" s="57"/>
      <c r="D24" s="57"/>
      <c r="E24" s="64"/>
      <c r="F24" s="57"/>
      <c r="G24" s="66"/>
      <c r="H24" s="65"/>
    </row>
    <row r="25" spans="1:8">
      <c r="A25" s="72"/>
      <c r="B25" s="71"/>
      <c r="C25" s="57"/>
      <c r="D25" s="57"/>
      <c r="E25" s="64"/>
      <c r="F25" s="57"/>
      <c r="G25" s="66"/>
      <c r="H25" s="65"/>
    </row>
    <row r="26" spans="1:8">
      <c r="A26" s="72"/>
      <c r="B26" s="71"/>
      <c r="C26" s="57"/>
      <c r="D26" s="57"/>
      <c r="E26" s="64"/>
      <c r="F26" s="57"/>
      <c r="G26" s="66"/>
      <c r="H26" s="65"/>
    </row>
    <row r="27" spans="1:8">
      <c r="A27" s="72"/>
      <c r="B27" s="71"/>
      <c r="C27" s="57"/>
      <c r="D27" s="57"/>
      <c r="E27" s="64"/>
      <c r="F27" s="57"/>
      <c r="G27" s="66"/>
      <c r="H27" s="65"/>
    </row>
    <row r="28" spans="1:8">
      <c r="A28" s="72"/>
      <c r="B28" s="71"/>
      <c r="C28" s="57"/>
      <c r="D28" s="57"/>
      <c r="E28" s="64"/>
      <c r="F28" s="57"/>
      <c r="G28" s="66"/>
      <c r="H28" s="65"/>
    </row>
    <row r="29" spans="1:8">
      <c r="A29" s="72"/>
      <c r="B29" s="71"/>
      <c r="C29" s="57"/>
      <c r="D29" s="57"/>
      <c r="E29" s="64"/>
      <c r="F29" s="57"/>
      <c r="G29" s="66"/>
      <c r="H29" s="65"/>
    </row>
    <row r="30" spans="1:8">
      <c r="A30" s="72"/>
      <c r="B30" s="71"/>
      <c r="C30" s="57"/>
      <c r="D30" s="57"/>
      <c r="E30" s="64"/>
      <c r="F30" s="57"/>
      <c r="G30" s="66"/>
      <c r="H30" s="65"/>
    </row>
    <row r="31" spans="1:8">
      <c r="A31" s="72"/>
      <c r="B31" s="71"/>
      <c r="C31" s="57"/>
      <c r="D31" s="57"/>
      <c r="E31" s="64"/>
      <c r="F31" s="57"/>
      <c r="G31" s="66"/>
      <c r="H31" s="65"/>
    </row>
    <row r="32" spans="1:8">
      <c r="A32" s="72"/>
      <c r="B32" s="71"/>
      <c r="C32" s="57"/>
      <c r="D32" s="57"/>
      <c r="E32" s="64"/>
      <c r="F32" s="57"/>
      <c r="G32" s="66"/>
      <c r="H32" s="65"/>
    </row>
    <row r="33" spans="1:8">
      <c r="A33" s="72"/>
      <c r="B33" s="71"/>
      <c r="C33" s="73"/>
      <c r="D33" s="73"/>
      <c r="E33" s="67"/>
      <c r="F33" s="73"/>
      <c r="G33" s="66"/>
      <c r="H33" s="65"/>
    </row>
    <row r="34" spans="1:8">
      <c r="A34" s="72"/>
      <c r="B34" s="71"/>
      <c r="C34" s="73"/>
      <c r="D34" s="73"/>
      <c r="E34" s="67"/>
      <c r="F34" s="73"/>
      <c r="G34" s="66"/>
      <c r="H34" s="65"/>
    </row>
    <row r="35" spans="1:8" ht="15" thickBot="1">
      <c r="A35" s="21"/>
      <c r="B35" s="49"/>
      <c r="C35" s="42"/>
      <c r="D35" s="42"/>
      <c r="E35" s="44"/>
      <c r="F35" s="45"/>
      <c r="G35" s="46"/>
      <c r="H35" s="47"/>
    </row>
    <row r="36" spans="1:8">
      <c r="A36" s="18"/>
      <c r="B36" s="54" t="s">
        <v>0</v>
      </c>
      <c r="C36" s="43"/>
      <c r="D36" s="17"/>
      <c r="E36" s="16"/>
      <c r="F36" s="17"/>
      <c r="G36" s="36"/>
      <c r="H36" s="48"/>
    </row>
    <row r="37" spans="1:8">
      <c r="A37" s="18"/>
      <c r="B37" s="55" t="s">
        <v>17</v>
      </c>
      <c r="C37" s="19"/>
      <c r="D37" s="19"/>
      <c r="E37" s="16"/>
      <c r="F37" s="50"/>
      <c r="G37" s="51"/>
      <c r="H37" s="37"/>
    </row>
    <row r="38" spans="1:8">
      <c r="A38" s="18"/>
      <c r="B38" s="56" t="s">
        <v>18</v>
      </c>
      <c r="C38" s="38"/>
      <c r="D38" s="20"/>
      <c r="E38" s="16"/>
      <c r="F38" s="52"/>
      <c r="G38" s="53"/>
      <c r="H38" s="37"/>
    </row>
    <row r="39" spans="1:8">
      <c r="A39" s="18"/>
      <c r="B39" s="40" t="s">
        <v>19</v>
      </c>
      <c r="C39" s="38"/>
      <c r="D39" s="17"/>
      <c r="E39" s="16"/>
      <c r="F39" s="35" t="s">
        <v>21</v>
      </c>
      <c r="G39" s="35"/>
      <c r="H39" s="15" t="s">
        <v>21</v>
      </c>
    </row>
    <row r="40" spans="1:8" ht="15" thickBot="1">
      <c r="A40" s="21"/>
      <c r="B40" s="41" t="s">
        <v>20</v>
      </c>
      <c r="C40" s="39"/>
      <c r="D40" s="22"/>
      <c r="E40" s="23"/>
      <c r="F40" s="99" t="s">
        <v>26</v>
      </c>
      <c r="G40" s="100"/>
      <c r="H40" s="62">
        <f>SUM(H8:H39)</f>
        <v>74000</v>
      </c>
    </row>
    <row r="41" spans="1:8">
      <c r="A41" s="30"/>
      <c r="B41" s="32" t="s">
        <v>12</v>
      </c>
      <c r="C41" s="33"/>
      <c r="D41" s="34"/>
      <c r="E41" s="101" t="s">
        <v>22</v>
      </c>
      <c r="F41" s="101"/>
      <c r="G41" s="101"/>
      <c r="H41" s="102"/>
    </row>
    <row r="42" spans="1:8">
      <c r="A42" s="30"/>
      <c r="B42" s="58" t="s">
        <v>24</v>
      </c>
      <c r="C42" s="25"/>
      <c r="D42" s="24"/>
      <c r="E42" s="26"/>
      <c r="F42" s="27"/>
      <c r="G42" s="25"/>
      <c r="H42" s="28"/>
    </row>
    <row r="43" spans="1:8" ht="15.75" customHeight="1">
      <c r="A43" s="30"/>
      <c r="B43" s="58" t="s">
        <v>28</v>
      </c>
      <c r="C43" s="25"/>
      <c r="D43" s="24"/>
      <c r="E43" s="26"/>
      <c r="F43" s="27"/>
      <c r="G43" s="25"/>
      <c r="H43" s="28"/>
    </row>
    <row r="44" spans="1:8" ht="15.75" customHeight="1">
      <c r="A44" s="30"/>
      <c r="B44" s="58" t="s">
        <v>25</v>
      </c>
      <c r="C44" s="25"/>
      <c r="D44" s="24"/>
      <c r="E44" s="26"/>
      <c r="F44" s="27"/>
      <c r="G44" s="25"/>
      <c r="H44" s="28"/>
    </row>
    <row r="45" spans="1:8">
      <c r="A45" s="30"/>
      <c r="B45" s="58" t="s">
        <v>44</v>
      </c>
      <c r="C45" s="25"/>
      <c r="D45" s="24"/>
      <c r="E45" s="26"/>
      <c r="F45" s="27"/>
      <c r="G45" s="25"/>
      <c r="H45" s="28"/>
    </row>
    <row r="46" spans="1:8" ht="15.75" customHeight="1" thickBot="1">
      <c r="A46" s="31"/>
      <c r="B46" s="76"/>
      <c r="C46" s="29"/>
      <c r="D46" s="29"/>
      <c r="E46" s="103" t="s">
        <v>13</v>
      </c>
      <c r="F46" s="103"/>
      <c r="G46" s="103"/>
      <c r="H46" s="104"/>
    </row>
    <row r="47" spans="1:8" ht="15.75" customHeight="1" thickBot="1">
      <c r="A47" s="96" t="s">
        <v>14</v>
      </c>
      <c r="B47" s="97"/>
      <c r="C47" s="97"/>
      <c r="D47" s="97"/>
      <c r="E47" s="97"/>
      <c r="F47" s="97"/>
      <c r="G47" s="97"/>
      <c r="H47" s="98"/>
    </row>
  </sheetData>
  <mergeCells count="8">
    <mergeCell ref="A47:H47"/>
    <mergeCell ref="F40:G40"/>
    <mergeCell ref="E41:H41"/>
    <mergeCell ref="E46:H46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B12" sqref="B12"/>
    </sheetView>
  </sheetViews>
  <sheetFormatPr defaultRowHeight="14.4"/>
  <cols>
    <col min="1" max="1" width="12.6640625" bestFit="1" customWidth="1"/>
    <col min="2" max="2" width="32.44140625" bestFit="1" customWidth="1"/>
    <col min="4" max="4" width="9" bestFit="1" customWidth="1"/>
  </cols>
  <sheetData>
    <row r="1" spans="1:5">
      <c r="A1" s="77" t="s">
        <v>29</v>
      </c>
      <c r="B1" s="77" t="s">
        <v>30</v>
      </c>
      <c r="C1" s="77" t="s">
        <v>31</v>
      </c>
      <c r="D1" s="77" t="s">
        <v>32</v>
      </c>
      <c r="E1" s="77" t="s">
        <v>33</v>
      </c>
    </row>
    <row r="2" spans="1:5">
      <c r="A2" s="78">
        <v>49260914</v>
      </c>
      <c r="B2" s="79" t="s">
        <v>34</v>
      </c>
      <c r="C2" s="78" t="s">
        <v>35</v>
      </c>
      <c r="D2" s="78">
        <v>5800</v>
      </c>
      <c r="E2" s="80"/>
    </row>
    <row r="3" spans="1:5">
      <c r="A3" s="78">
        <v>44490210</v>
      </c>
      <c r="B3" s="79" t="s">
        <v>36</v>
      </c>
      <c r="C3" s="78" t="s">
        <v>35</v>
      </c>
      <c r="D3" s="81">
        <v>12</v>
      </c>
      <c r="E3" s="80"/>
    </row>
    <row r="4" spans="1:5">
      <c r="A4" s="78">
        <v>44100577</v>
      </c>
      <c r="B4" s="79" t="s">
        <v>37</v>
      </c>
      <c r="C4" s="78" t="s">
        <v>35</v>
      </c>
      <c r="D4" s="81">
        <v>24</v>
      </c>
      <c r="E4" s="80"/>
    </row>
    <row r="5" spans="1:5">
      <c r="A5" s="78">
        <v>44100680</v>
      </c>
      <c r="B5" s="79" t="s">
        <v>38</v>
      </c>
      <c r="C5" s="78" t="s">
        <v>35</v>
      </c>
      <c r="D5" s="81">
        <v>12</v>
      </c>
      <c r="E5" s="80"/>
    </row>
    <row r="6" spans="1:5">
      <c r="A6" s="78">
        <v>40054170</v>
      </c>
      <c r="B6" s="79" t="s">
        <v>39</v>
      </c>
      <c r="C6" s="78" t="s">
        <v>35</v>
      </c>
      <c r="D6" s="78">
        <v>1000</v>
      </c>
      <c r="E6" s="80"/>
    </row>
    <row r="7" spans="1:5">
      <c r="A7" s="78">
        <v>40061003</v>
      </c>
      <c r="B7" s="79" t="s">
        <v>40</v>
      </c>
      <c r="C7" s="78" t="s">
        <v>41</v>
      </c>
      <c r="D7" s="78">
        <v>500</v>
      </c>
      <c r="E7" s="80"/>
    </row>
    <row r="11" spans="1:5" ht="15.6">
      <c r="B11" s="84"/>
    </row>
    <row r="12" spans="1:5" ht="46.8">
      <c r="B12" s="84" t="s">
        <v>42</v>
      </c>
    </row>
    <row r="13" spans="1:5" ht="15.6">
      <c r="B13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2025-06-23T12:21:36Z</cp:lastPrinted>
  <dcterms:created xsi:type="dcterms:W3CDTF">2021-03-18T15:08:59Z</dcterms:created>
  <dcterms:modified xsi:type="dcterms:W3CDTF">2025-09-04T15:47:18Z</dcterms:modified>
</cp:coreProperties>
</file>