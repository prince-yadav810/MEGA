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LD DATA\Mega Quotation - Copy\"/>
    </mc:Choice>
  </mc:AlternateContent>
  <xr:revisionPtr revIDLastSave="0" documentId="13_ncr:1_{16596289-8451-4D68-8E90-F490B2F28474}" xr6:coauthVersionLast="47" xr6:coauthVersionMax="47" xr10:uidLastSave="{00000000-0000-0000-0000-000000000000}"/>
  <bookViews>
    <workbookView xWindow="1440" yWindow="1140" windowWidth="21600" windowHeight="11100" xr2:uid="{00000000-000D-0000-FFFF-FFFF00000000}"/>
  </bookViews>
  <sheets>
    <sheet name="Sheet1" sheetId="4" r:id="rId1"/>
    <sheet name="Sheet2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4" l="1"/>
  <c r="H10" i="4"/>
  <c r="H8" i="4" l="1"/>
  <c r="H37" i="4" l="1"/>
</calcChain>
</file>

<file path=xl/sharedStrings.xml><?xml version="1.0" encoding="utf-8"?>
<sst xmlns="http://schemas.openxmlformats.org/spreadsheetml/2006/main" count="53" uniqueCount="43">
  <si>
    <t>MEGA ENTERPRISE</t>
  </si>
  <si>
    <t>REF NO</t>
  </si>
  <si>
    <t>TO,</t>
  </si>
  <si>
    <t>DATE</t>
  </si>
  <si>
    <t xml:space="preserve"> </t>
  </si>
  <si>
    <t>Sr No</t>
  </si>
  <si>
    <t>DISCRIPTION</t>
  </si>
  <si>
    <t>QTY</t>
  </si>
  <si>
    <t>UNIT</t>
  </si>
  <si>
    <t>RATE</t>
  </si>
  <si>
    <t>PER</t>
  </si>
  <si>
    <t>GST</t>
  </si>
  <si>
    <t>AMOUNT (EXCL GST)</t>
  </si>
  <si>
    <t>TERMS&amp;CONDITION</t>
  </si>
  <si>
    <r>
      <rPr>
        <b/>
        <sz val="13"/>
        <rFont val="Cambria"/>
        <family val="1"/>
        <scheme val="major"/>
      </rPr>
      <t>For,</t>
    </r>
    <r>
      <rPr>
        <b/>
        <sz val="12"/>
        <rFont val="Cambria"/>
        <family val="1"/>
        <scheme val="major"/>
      </rPr>
      <t xml:space="preserve"> Mega Enterprise.</t>
    </r>
  </si>
  <si>
    <t>GST EXTRA AS APPLICABLE</t>
  </si>
  <si>
    <t>Authorised Signatory.</t>
  </si>
  <si>
    <t>GST NO: 27DRGPD9065L1ZA</t>
  </si>
  <si>
    <t>Q U O T A T I O N</t>
  </si>
  <si>
    <t>MOB. NO. 7506070157</t>
  </si>
  <si>
    <t>1ST LEVEL, PLOT NO PAP-57, MIDC WATER TANK, MIDC TALOJA, NAVI MUMBAI -410208</t>
  </si>
  <si>
    <t>TOTAL</t>
  </si>
  <si>
    <t>TATA PROJECTS LIMITED</t>
  </si>
  <si>
    <t>Bank Name: IDBI BANK</t>
  </si>
  <si>
    <t>A/c No.: 0047102000009430</t>
  </si>
  <si>
    <t>Branch: MIDC TALOJA</t>
  </si>
  <si>
    <t>IFS Code: IBKL0000047</t>
  </si>
  <si>
    <t>PAYMENT IMMEDIATE</t>
  </si>
  <si>
    <t>OFFER VALIDITY 1 WEEK</t>
  </si>
  <si>
    <t>Nos</t>
  </si>
  <si>
    <t>NOS</t>
  </si>
  <si>
    <t>Sr. No.</t>
  </si>
  <si>
    <t>Description/Specification</t>
  </si>
  <si>
    <t>UOM</t>
  </si>
  <si>
    <t>Qty</t>
  </si>
  <si>
    <t>Unit Price</t>
  </si>
  <si>
    <t>Pad Lock</t>
  </si>
  <si>
    <t>Chain for locking the door</t>
  </si>
  <si>
    <t>Normal Broom</t>
  </si>
  <si>
    <t>Broom with handle (Municipality Broom)</t>
  </si>
  <si>
    <t>13.08.2025</t>
  </si>
  <si>
    <t>GI BASE PLATE - 22MMX890MMX825MM - WITH CUTTING, GALVANIZING, HOLES FOR ANCHOR FASTENER - AS PER DRAWING ATTACHED</t>
  </si>
  <si>
    <t>GI BASE PLATE - 22MMX100MMX825MM - WITH CUTTING, GALVANIZING, HOLES FOR ANCHOR FASTENER - AS PER DRAWING ATTACHED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</si>
</sst>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mbria"/>
      <family val="1"/>
      <scheme val="major"/>
    </font>
    <font>
      <b/>
      <sz val="14"/>
      <name val="Cambria"/>
      <family val="1"/>
      <scheme val="major"/>
    </font>
    <font>
      <b/>
      <sz val="9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name val="Calibri"/>
      <family val="2"/>
      <scheme val="minor"/>
    </font>
    <font>
      <sz val="10"/>
      <name val="Cambria"/>
      <family val="1"/>
      <scheme val="major"/>
    </font>
    <font>
      <b/>
      <sz val="12"/>
      <name val="Cambria"/>
      <family val="1"/>
      <scheme val="major"/>
    </font>
    <font>
      <b/>
      <sz val="13"/>
      <name val="Cambria"/>
      <family val="1"/>
      <scheme val="major"/>
    </font>
    <font>
      <sz val="11"/>
      <name val="Cambria"/>
      <family val="1"/>
      <scheme val="major"/>
    </font>
    <font>
      <sz val="12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Arial Unicode MS"/>
      <family val="2"/>
    </font>
    <font>
      <b/>
      <sz val="11"/>
      <color rgb="FF222222"/>
      <name val="Cambria"/>
      <family val="1"/>
      <scheme val="major"/>
    </font>
    <font>
      <b/>
      <sz val="57"/>
      <name val="Arial Unicode MS"/>
      <family val="2"/>
    </font>
    <font>
      <sz val="9"/>
      <name val="Verdana"/>
      <family val="2"/>
    </font>
    <font>
      <sz val="9"/>
      <color theme="1"/>
      <name val="Verdana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 wrapText="1"/>
    </xf>
    <xf numFmtId="2" fontId="13" fillId="0" borderId="4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 wrapText="1"/>
    </xf>
    <xf numFmtId="9" fontId="8" fillId="3" borderId="14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2" fontId="16" fillId="3" borderId="18" xfId="0" applyNumberFormat="1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2" fontId="8" fillId="0" borderId="19" xfId="0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9" fontId="8" fillId="3" borderId="15" xfId="0" applyNumberFormat="1" applyFont="1" applyFill="1" applyBorder="1" applyAlignment="1">
      <alignment horizontal="center" vertical="center" wrapText="1"/>
    </xf>
    <xf numFmtId="2" fontId="8" fillId="3" borderId="17" xfId="0" applyNumberFormat="1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0" fontId="22" fillId="0" borderId="0" xfId="0" applyFont="1"/>
    <xf numFmtId="0" fontId="23" fillId="0" borderId="25" xfId="0" applyFont="1" applyBorder="1" applyAlignment="1">
      <alignment horizontal="left" vertical="top" wrapText="1"/>
    </xf>
    <xf numFmtId="0" fontId="23" fillId="0" borderId="26" xfId="0" applyFont="1" applyBorder="1" applyAlignment="1">
      <alignment horizontal="left" vertical="top" wrapText="1"/>
    </xf>
    <xf numFmtId="0" fontId="24" fillId="3" borderId="26" xfId="0" applyFont="1" applyFill="1" applyBorder="1" applyAlignment="1">
      <alignment horizontal="left" vertical="top" wrapText="1"/>
    </xf>
    <xf numFmtId="0" fontId="22" fillId="0" borderId="26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18" fillId="0" borderId="9" xfId="0" applyFont="1" applyBorder="1" applyAlignment="1">
      <alignment wrapText="1"/>
    </xf>
    <xf numFmtId="0" fontId="2" fillId="0" borderId="27" xfId="0" applyFont="1" applyBorder="1" applyAlignment="1">
      <alignment horizontal="center" vertical="center"/>
    </xf>
    <xf numFmtId="9" fontId="20" fillId="3" borderId="14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2" fontId="20" fillId="3" borderId="26" xfId="0" applyNumberFormat="1" applyFont="1" applyFill="1" applyBorder="1" applyAlignment="1">
      <alignment horizontal="right" vertical="center" wrapText="1"/>
    </xf>
    <xf numFmtId="0" fontId="6" fillId="0" borderId="7" xfId="0" applyFont="1" applyBorder="1" applyAlignment="1">
      <alignment horizontal="center" vertical="center" wrapText="1"/>
    </xf>
    <xf numFmtId="9" fontId="20" fillId="3" borderId="28" xfId="0" applyNumberFormat="1" applyFont="1" applyFill="1" applyBorder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0" fontId="20" fillId="0" borderId="16" xfId="0" applyFont="1" applyBorder="1" applyAlignment="1">
      <alignment horizontal="center" vertical="center" wrapText="1"/>
    </xf>
    <xf numFmtId="2" fontId="20" fillId="0" borderId="14" xfId="0" applyNumberFormat="1" applyFont="1" applyBorder="1" applyAlignment="1">
      <alignment horizontal="center" vertical="center" wrapText="1"/>
    </xf>
    <xf numFmtId="0" fontId="25" fillId="3" borderId="14" xfId="0" applyFont="1" applyFill="1" applyBorder="1" applyAlignment="1">
      <alignment vertical="center"/>
    </xf>
    <xf numFmtId="0" fontId="25" fillId="3" borderId="14" xfId="0" applyFont="1" applyFill="1" applyBorder="1" applyAlignment="1">
      <alignment horizontal="center" vertical="center"/>
    </xf>
    <xf numFmtId="0" fontId="20" fillId="0" borderId="24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5" fillId="3" borderId="14" xfId="0" applyFont="1" applyFill="1" applyBorder="1" applyAlignment="1">
      <alignment horizontal="center" vertical="center" wrapText="1"/>
    </xf>
    <xf numFmtId="0" fontId="25" fillId="3" borderId="14" xfId="0" applyFont="1" applyFill="1" applyBorder="1" applyAlignment="1">
      <alignment vertical="center" wrapText="1"/>
    </xf>
    <xf numFmtId="2" fontId="20" fillId="3" borderId="30" xfId="0" applyNumberFormat="1" applyFont="1" applyFill="1" applyBorder="1" applyAlignment="1">
      <alignment horizontal="right" vertical="center" wrapText="1"/>
    </xf>
    <xf numFmtId="3" fontId="21" fillId="0" borderId="14" xfId="0" applyNumberFormat="1" applyFont="1" applyBorder="1" applyAlignment="1">
      <alignment horizontal="center" vertical="top"/>
    </xf>
    <xf numFmtId="0" fontId="21" fillId="0" borderId="14" xfId="0" applyFont="1" applyBorder="1" applyAlignment="1">
      <alignment horizontal="center" vertical="top"/>
    </xf>
    <xf numFmtId="4" fontId="21" fillId="0" borderId="14" xfId="0" applyNumberFormat="1" applyFont="1" applyBorder="1" applyAlignment="1">
      <alignment horizontal="center" vertical="top"/>
    </xf>
    <xf numFmtId="0" fontId="21" fillId="0" borderId="14" xfId="0" applyFont="1" applyBorder="1" applyAlignment="1">
      <alignment horizontal="left" vertical="center"/>
    </xf>
    <xf numFmtId="0" fontId="21" fillId="0" borderId="3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3" fontId="21" fillId="0" borderId="31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4" fontId="21" fillId="0" borderId="31" xfId="0" applyNumberFormat="1" applyFont="1" applyBorder="1" applyAlignment="1">
      <alignment horizontal="center" vertical="center"/>
    </xf>
    <xf numFmtId="3" fontId="21" fillId="0" borderId="14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4" fontId="21" fillId="0" borderId="14" xfId="0" applyNumberFormat="1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0" fillId="0" borderId="10" xfId="0" applyFont="1" applyBorder="1" applyAlignment="1">
      <alignment horizontal="right" wrapText="1"/>
    </xf>
    <xf numFmtId="0" fontId="10" fillId="0" borderId="3" xfId="0" applyFont="1" applyBorder="1" applyAlignment="1">
      <alignment horizontal="right" wrapText="1"/>
    </xf>
    <xf numFmtId="2" fontId="13" fillId="0" borderId="1" xfId="0" applyNumberFormat="1" applyFont="1" applyBorder="1" applyAlignment="1">
      <alignment horizontal="right" vertical="center" wrapText="1"/>
    </xf>
    <xf numFmtId="2" fontId="13" fillId="0" borderId="6" xfId="0" applyNumberFormat="1" applyFont="1" applyBorder="1" applyAlignment="1">
      <alignment horizontal="right" vertical="center" wrapText="1"/>
    </xf>
    <xf numFmtId="9" fontId="16" fillId="3" borderId="22" xfId="0" applyNumberFormat="1" applyFont="1" applyFill="1" applyBorder="1" applyAlignment="1">
      <alignment horizontal="center" vertical="center" wrapText="1"/>
    </xf>
    <xf numFmtId="9" fontId="16" fillId="3" borderId="2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185733</xdr:colOff>
      <xdr:row>18</xdr:row>
      <xdr:rowOff>34027</xdr:rowOff>
    </xdr:from>
    <xdr:ext cx="722462" cy="316303"/>
    <xdr:sp macro="" textlink="">
      <xdr:nvSpPr>
        <xdr:cNvPr id="1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32D6AB9-EF6A-4C82-A581-E7BB96D9085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73912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18</xdr:row>
      <xdr:rowOff>34027</xdr:rowOff>
    </xdr:from>
    <xdr:ext cx="722462" cy="316303"/>
    <xdr:sp macro="" textlink="">
      <xdr:nvSpPr>
        <xdr:cNvPr id="1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2A8DA0B-C412-4986-BA9B-3366FA5EA62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73912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22</xdr:row>
      <xdr:rowOff>34027</xdr:rowOff>
    </xdr:from>
    <xdr:ext cx="722462" cy="316303"/>
    <xdr:sp macro="" textlink="">
      <xdr:nvSpPr>
        <xdr:cNvPr id="2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3BBB6A6-953F-4CD8-8186-3F94183535F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310488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22</xdr:row>
      <xdr:rowOff>34027</xdr:rowOff>
    </xdr:from>
    <xdr:ext cx="722462" cy="316303"/>
    <xdr:sp macro="" textlink="">
      <xdr:nvSpPr>
        <xdr:cNvPr id="2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94DBBDF-2AA8-4BA3-A902-CE281C8E201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73912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22</xdr:row>
      <xdr:rowOff>34027</xdr:rowOff>
    </xdr:from>
    <xdr:ext cx="722462" cy="316303"/>
    <xdr:sp macro="" textlink="">
      <xdr:nvSpPr>
        <xdr:cNvPr id="2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B24B10E-A04D-4F92-BD25-EB20BDB9195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73912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21</xdr:row>
      <xdr:rowOff>24502</xdr:rowOff>
    </xdr:from>
    <xdr:ext cx="722462" cy="316303"/>
    <xdr:sp macro="" textlink="">
      <xdr:nvSpPr>
        <xdr:cNvPr id="2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AACE318-84EA-473D-BDC2-BD6BD6B6423F}"/>
            </a:ext>
          </a:extLst>
        </xdr:cNvPr>
        <xdr:cNvSpPr>
          <a:spLocks noChangeAspect="1" noChangeArrowheads="1"/>
        </xdr:cNvSpPr>
      </xdr:nvSpPr>
      <xdr:spPr bwMode="auto">
        <a:xfrm flipV="1">
          <a:off x="7615233" y="4710802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193353</xdr:colOff>
      <xdr:row>29</xdr:row>
      <xdr:rowOff>110227</xdr:rowOff>
    </xdr:from>
    <xdr:ext cx="722462" cy="316303"/>
    <xdr:sp macro="" textlink="">
      <xdr:nvSpPr>
        <xdr:cNvPr id="3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84E9AD5-6035-4CC3-AD4B-AF937EF16D91}"/>
            </a:ext>
          </a:extLst>
        </xdr:cNvPr>
        <xdr:cNvSpPr>
          <a:spLocks noChangeAspect="1" noChangeArrowheads="1"/>
        </xdr:cNvSpPr>
      </xdr:nvSpPr>
      <xdr:spPr bwMode="auto">
        <a:xfrm flipV="1">
          <a:off x="193353" y="72044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3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4445038-E677-4B5F-8B0B-03ED88AA897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310488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3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F75CEB2-6500-4161-AE8C-351828E4E19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3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57FF28B-5ACC-41ED-B187-6DE13041FF8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3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6B0A202-4C38-400A-998C-E03184D4D9E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3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4AAE7BE-854D-42C4-9A93-E1F5AFE8B25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3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94D509F-DD19-4E51-A45D-2EAA045C99C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3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2C54B1B-4DD0-405D-8218-A732407AD74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4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D737510-0770-4E55-AD05-47FAF8EFC7F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4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AE80391-31F8-4EB8-882E-1974A794A42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4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1224A78-214F-4220-ADC5-9350F65A702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4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9682919-D259-44B8-8219-6278251A7C0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4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EB1CE0F-66D9-457B-8443-07576497600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4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E44F833-502C-4DD5-A478-487F27A841E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4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C398AE0-6216-4AA1-848D-EB8B20226E7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4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2677279-DA5F-4A97-AA24-091F7E8F196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4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9143106-6AED-4C1D-9B74-B70A2F28812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5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A4E9979-9251-47D0-B10D-78B1E65FC50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5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EDA750B-6B4D-4AB2-A7EA-161B33D2DC7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5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C41C12D-898D-41C1-8E90-D10C6366795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5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1C33AF8-E421-41EB-98BD-DC5BBAE65E0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5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4FD9ABC-B01B-4AC1-BF13-919C227F95F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5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F84BB37-5559-48D6-933B-76B98AE1586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5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A23786A-E603-4ADE-8859-B983E9661E9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5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39C360E-CBC5-4E4F-B480-BF1966F8F2F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5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2F8E324-C3C8-4AAA-990D-C1ADC3C58B5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5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C3AA2F6-E6E6-439A-A05B-46303A8D8F7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6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180C0B8-C4AF-4085-842A-5E20DC1AA06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6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A73FB0A-A95A-4B50-857E-E6A2587EC93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6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80A9E1B-4977-40C3-B979-F5C9A575A15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6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DDA6B99-8A53-4CD0-A0D9-C44C6C779D9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31</xdr:row>
      <xdr:rowOff>34027</xdr:rowOff>
    </xdr:from>
    <xdr:ext cx="722462" cy="316303"/>
    <xdr:sp macro="" textlink="">
      <xdr:nvSpPr>
        <xdr:cNvPr id="6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3D49176-2B05-4777-92BF-60CE389A9A0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31</xdr:row>
      <xdr:rowOff>34027</xdr:rowOff>
    </xdr:from>
    <xdr:ext cx="722462" cy="316303"/>
    <xdr:sp macro="" textlink="">
      <xdr:nvSpPr>
        <xdr:cNvPr id="6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193134E-576D-4CDA-958C-E03815A9FF7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31</xdr:row>
      <xdr:rowOff>34027</xdr:rowOff>
    </xdr:from>
    <xdr:ext cx="722462" cy="316303"/>
    <xdr:sp macro="" textlink="">
      <xdr:nvSpPr>
        <xdr:cNvPr id="6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35699C0-1FF5-4DC4-9F56-6B900A4CA44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31</xdr:row>
      <xdr:rowOff>34027</xdr:rowOff>
    </xdr:from>
    <xdr:ext cx="722462" cy="316303"/>
    <xdr:sp macro="" textlink="">
      <xdr:nvSpPr>
        <xdr:cNvPr id="6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9E76B5A-5884-4945-AD29-80EE2BE19C4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32</xdr:row>
      <xdr:rowOff>0</xdr:rowOff>
    </xdr:from>
    <xdr:ext cx="722462" cy="316303"/>
    <xdr:sp macro="" textlink="">
      <xdr:nvSpPr>
        <xdr:cNvPr id="6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66F24E1-0C2B-4D3F-995F-C7F79D41C0F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32</xdr:row>
      <xdr:rowOff>0</xdr:rowOff>
    </xdr:from>
    <xdr:ext cx="722462" cy="316303"/>
    <xdr:sp macro="" textlink="">
      <xdr:nvSpPr>
        <xdr:cNvPr id="7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E1A5BC1-4218-4F79-8570-58BA64E5E7C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32</xdr:row>
      <xdr:rowOff>0</xdr:rowOff>
    </xdr:from>
    <xdr:ext cx="722462" cy="316303"/>
    <xdr:sp macro="" textlink="">
      <xdr:nvSpPr>
        <xdr:cNvPr id="7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D77BF60-2619-4C06-A004-EF07734B275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32</xdr:row>
      <xdr:rowOff>0</xdr:rowOff>
    </xdr:from>
    <xdr:ext cx="722462" cy="316303"/>
    <xdr:sp macro="" textlink="">
      <xdr:nvSpPr>
        <xdr:cNvPr id="7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A65B88D-5CAD-4AB4-9E59-837C1FC5966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32</xdr:row>
      <xdr:rowOff>0</xdr:rowOff>
    </xdr:from>
    <xdr:ext cx="722462" cy="316303"/>
    <xdr:sp macro="" textlink="">
      <xdr:nvSpPr>
        <xdr:cNvPr id="7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C7DB69A-5154-4973-AEC9-6C30B33511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32</xdr:row>
      <xdr:rowOff>0</xdr:rowOff>
    </xdr:from>
    <xdr:ext cx="722462" cy="316303"/>
    <xdr:sp macro="" textlink="">
      <xdr:nvSpPr>
        <xdr:cNvPr id="7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FD18282-6029-4722-8D15-90338CEBC70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32</xdr:row>
      <xdr:rowOff>0</xdr:rowOff>
    </xdr:from>
    <xdr:ext cx="722462" cy="316303"/>
    <xdr:sp macro="" textlink="">
      <xdr:nvSpPr>
        <xdr:cNvPr id="7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62C868E-0407-413C-86B3-7152396ECD9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32</xdr:row>
      <xdr:rowOff>0</xdr:rowOff>
    </xdr:from>
    <xdr:ext cx="722462" cy="316303"/>
    <xdr:sp macro="" textlink="">
      <xdr:nvSpPr>
        <xdr:cNvPr id="7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3AC2D5C-37D4-4D9C-9BAE-0280628C467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32</xdr:row>
      <xdr:rowOff>0</xdr:rowOff>
    </xdr:from>
    <xdr:ext cx="722462" cy="316303"/>
    <xdr:sp macro="" textlink="">
      <xdr:nvSpPr>
        <xdr:cNvPr id="7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30168EB-31D2-4BCD-A03E-E89AA97AECE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32</xdr:row>
      <xdr:rowOff>0</xdr:rowOff>
    </xdr:from>
    <xdr:ext cx="722462" cy="316303"/>
    <xdr:sp macro="" textlink="">
      <xdr:nvSpPr>
        <xdr:cNvPr id="7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97C850D-036E-4DF8-8D84-3A3CAFFC054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178113</xdr:colOff>
      <xdr:row>27</xdr:row>
      <xdr:rowOff>0</xdr:rowOff>
    </xdr:from>
    <xdr:ext cx="722462" cy="316303"/>
    <xdr:sp macro="" textlink="">
      <xdr:nvSpPr>
        <xdr:cNvPr id="7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16B1768-37F2-406F-9DC1-57AA5FDA6138}"/>
            </a:ext>
          </a:extLst>
        </xdr:cNvPr>
        <xdr:cNvSpPr>
          <a:spLocks noChangeAspect="1" noChangeArrowheads="1"/>
        </xdr:cNvSpPr>
      </xdr:nvSpPr>
      <xdr:spPr bwMode="auto">
        <a:xfrm flipV="1">
          <a:off x="178113" y="62900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8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3D6E38E-5113-4A8C-95B8-A66F91E80AF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566520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8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732EEF3-96F4-443F-A609-11BA83DD0C5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8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772DE28-537B-4A3C-8285-1DA5EB5A8A4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8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C301661-645C-4C8E-93D4-F48A6FD6B2C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8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A0FD535-3279-418D-A6F0-D793731E5C7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8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5C0EF4C-089B-4E8C-B908-1678ADB97FD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584808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8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5A584D9-535F-465E-AC71-8EC74A1E82D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584808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8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4F0176A-184A-476E-9A4E-505DE614955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584808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9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379D6C7-154B-490A-B5A3-054A49EDCF1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9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C7DE9D3-0EA5-47A6-8152-65F8DF486AC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9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16D0216-3AD3-42E3-AABE-74BD284BC76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9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8502F9B-07F2-4E25-B463-F677A1AAEBC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9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E5E1774-6468-47DF-B69F-1C4C810E5A5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9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8C52B00-B93B-44AF-8423-7BD204733CB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9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45CD0D8-829A-4D42-86AA-462E8F00121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9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B9F4766-8424-4D59-B2F2-D15580D794F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9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724FE13-3657-4D4F-8BAA-6AA4FDA630A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9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F242840-F9E7-452F-8D3C-7F00DA01EE4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0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2C59E51-7E70-41A9-98B3-3507592C0A8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0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4C8B6FB-C682-4277-96FB-5B7143FDF0F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0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589A7AE-7133-4A49-BBD2-2CDAAB35B60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0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8BD3A7A-C9A1-4E8F-A7EF-5F90014ECA9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0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589BEA8-84E4-44A9-A02C-4435E10FB01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0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B4FC1AE-E458-416D-B2E4-48015E23E36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0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E4D228B-5B73-46BC-806B-EE0B2066F52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0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EEECCA6-B8B2-4370-B90B-3D00A3F88D1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0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646E6B4-1203-42D5-A5E4-901D11D9D2E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0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2527700-6A95-4A95-A96E-575E5070B22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1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46B69AD-CFC3-47E7-BF01-BA90A564455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1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ADD2E61-AA57-49D8-9D99-497F4FA152B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1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196FDAC-691B-4D69-B1F9-B0B5DEE77FA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1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81109CE-ED4E-4988-9D26-0E02B6FC096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1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CCE3397-7C37-42C3-B7C2-B57E2644D72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1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ED6E324-A47D-4D91-8E5D-4FC0BFC952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1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DCA051F-325F-4FAF-9CAA-D542C8CAD10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1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B180643-1AE8-48DE-BC37-D06F628AFC1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1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01C2C9E-A77E-4A88-B4D3-E5C1CFA243F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1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D90078B-18D6-4F1F-804A-605ECBB6B67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2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016FABC-AF11-4EC8-9DDF-89F0E57BEA2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2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35B7146-4221-47BC-89E9-A957C8B31F0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2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529AADB-A7FB-4279-ABFF-BA9FA93B39F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2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E593EEC-A55B-4CB3-82AC-459F22538E8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2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5FC910B-241F-46F6-9451-E5699BBCC1C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2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F1DF9CA-D846-433A-BBE2-0C6DBB6ECC1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2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76C2047-3C13-42B3-8350-DB054FE1441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2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633F161-0834-4FEB-A88D-CEC1007BA56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2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0345659-AC76-4470-81CE-DB471E09DDB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2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281F478-A65E-47F6-8ED0-1BD299E90BE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3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CB4C53B-8433-4C94-9519-A2B120BB097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3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61E2A77-D706-40C8-BB8E-87DF9486DE5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3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C3DA9AA-1895-46FA-A7FE-9F8B66F3A25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3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6BC2612-7374-4AF7-A81F-F5CBFBDDF18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3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F1C36AE-7289-4676-9EE0-FC6D9B0251D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3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19465BA-C9D5-49EE-A371-5496FF416E7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3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EB2B636-A220-4256-88F2-268BB6E1D58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3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E712941-D3D0-4797-AF19-33719FDDFD5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3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120B27E-A438-4F38-8C7A-1D41ACA3CEE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3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C65D950-97A7-4AC3-B704-9510EE990AF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4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DEAC8D2-9331-4AFA-BA63-BF68CD413DF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4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B541080-6C6F-4CB9-B47D-A517C82C7FD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4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C15CCA4-352D-4FD9-9A3B-DA2783F3316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4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9413AD7-C26E-409C-A927-6BDBE78E19D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4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8D137BC-A12E-498A-882A-F7FAAD69DAD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4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7EABE61-7248-4DF9-91F6-B449EA52CEA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4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BDD5A77-C496-4CD7-A113-B78B1E16C6E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4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B928D65-1400-40D0-AAEC-886D659167C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4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16F2487-971D-4E0A-A83D-5F9E8E1E576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4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797246A-1033-40BC-8074-391190DB95B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5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352A5BC-2278-45DE-B425-1FC9A86DC4E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5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745959F-D19F-43AC-9B1E-69FFF8B0A7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5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C03F9A2-8E65-4D85-88AD-6E83A1EB256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5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A04A058-2D6F-4481-8AE5-15650529133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5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F41005E-5114-4954-B069-3E1C223770E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5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8EB9EB5-2ED6-4730-A4B1-C8FDB4C05D2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5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76E675E-7DA4-453D-96D8-62DE0D9097E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5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2B8325D-5938-4D0E-93D3-D044D252505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5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710AB82-C9B6-4178-8377-5AB99BD50F6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5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03662D9-C223-429D-852D-6C50E574F83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6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F1B2978-0D05-4806-B910-840ABF30F5B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6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F0859B5-4AA2-4810-A779-2917B72A6C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6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06EE68B-8603-4D6A-BCE5-0CF8D62CD39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6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FDB9F5E-EBC0-4EEC-B21F-D61D3B4967C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6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E4D3CF8-CAC2-4CE2-A568-921BF36D555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6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2CD82F2-CF30-4C1B-847C-4DB30FB6B10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6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0EDA78B-D7B0-41D9-A685-800C826A647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6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CDD0BC7-C76C-413A-A9D4-ADD59BC4120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6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3A107CD-F790-4D18-980F-D140A82D817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6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976EB62-4BE0-471D-900C-7365C71FEEA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7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B8C37FD-BAB1-4733-AEED-5A535D17B60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7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65F764E-AB5C-4EB5-B555-C6FDC4EA741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7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D414E65-EA42-4BC6-8CFF-559F4F9F86B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7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203DCD7-FC20-402D-AE78-09122A3FB3B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7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2E8EA53-CCE5-4C4C-A61F-3586E75385B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7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86A5282-4132-4532-9BA5-B842109757B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7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DDCE4AD-8B22-4C30-B413-739F37344FF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7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7058044-DA8C-4C55-808E-967D5EA9161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7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0136472-3072-451F-9E8B-C3F82DF08F2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7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5B9BA2B-EB22-4416-A54B-0C8B341E33D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8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C9214AD-C15B-479F-824D-CF408DE98BE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8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9452D21-F77D-40D4-8390-4EC97816C87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8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7479B80-466C-414E-8D34-343FC0A34A0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18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1E86527-44CB-42CE-8F1D-63CDCB0F129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18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B14DFDA-B252-447C-8518-B097101293A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18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76F92DA-EC1F-49CB-9CD2-C1D9C21F203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18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49A922E-D087-4C3D-A425-764DB6FDF0A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18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79C73E2-CC4F-4CEB-AB22-7D319193507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18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B9891D7-904F-4AE6-962B-1A875B94884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18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1B500B2-8858-4294-BF3A-4122B0E3A34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19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2C1746F-C4FC-4B03-89DD-D122EEC2DCA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9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60DC945-4062-4A97-85DE-10579F25199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9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7E2F198-30B9-47C4-BBA4-A8793F0BDA7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9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4F20323-B9F5-4FE2-96DE-6271E1CDF5A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9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BFACFD9-FD8C-464E-BC5D-2825EC2CE7A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9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3E6E4DB-3AE7-40F9-93D1-BEAD21D51FD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9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E8710A3-71B0-4878-9583-0B2D046E493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19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424D699-EE77-484B-B69B-67DB36A9122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19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1A47B5E-64CD-4D7A-BF52-8A400BA8F11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19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C14CF9C-0AD5-47A1-9682-ADFF5C18C3C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0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4E8C145-BA92-41BE-B8DC-42DA1B241DA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0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1952BF9-AD7C-4BB4-9A41-CE5C63AD9E2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0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96CB874-B318-4D0F-9C64-A8AF8F11410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0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59B490D-0573-4BF3-8A82-6C8F5AE5D16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0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6D34950-A64B-4747-9E4E-809B557F36A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0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A02B549-0D30-4A94-8F7B-98791926435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20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74DC901-745F-4CAD-9EE0-8FC8601210E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20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3457270-F7AA-430F-856F-A4120E1AB8E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0</xdr:rowOff>
    </xdr:from>
    <xdr:ext cx="722462" cy="316303"/>
    <xdr:sp macro="" textlink="">
      <xdr:nvSpPr>
        <xdr:cNvPr id="20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B8BE308-1447-41F7-AFE1-52A900C2349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0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A8A67C3-4589-4E54-8071-CCB7886A693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1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692EBDC-175F-477F-BA48-5E84CC11038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1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E7A35B8-68CE-448C-A971-8B4B8C18071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1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7CEC9FA-A0C8-4981-94FA-B36B780D840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1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6580019-4A4C-4148-9223-E527EE009CF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1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8C40215-8EA0-438B-A68D-77733B2038E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1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22BABBE-C707-4456-84E1-465AA123595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1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1B59B0C-A94B-44A1-A0EB-FE8AF29FFFE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1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0E09BC3-EDE9-48BB-BBDA-3FE10A03160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1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AEAAFB4-C5D9-49E4-BF14-30A4BD9A106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1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406B8F6-7629-407C-8610-98AC2A468FC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2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4773CCF-F9A5-4815-BA97-7B70AE442DE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2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A8F36BD-4004-4F69-8C38-F131C8268A4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2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A3362C9-D4A2-48E5-9229-EE885B84002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2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E557EEA-5EA2-4AAA-9327-BB089E4F916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2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FB5874F-D1D0-43B3-B6D3-C86ADA2B5CB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2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CE7B6C1-00A7-4963-A3EF-0DC1A169DD4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2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14D7D89-507E-4C7C-9A7C-2A2992E8EA7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2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8F0F6EF-AA4B-482D-ADBD-F7920941B46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2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5EC093B-4981-4650-B647-D47DC08FB21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2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B06D649-63BD-4709-AB34-55F52CC9774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3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C8D1484-8DC6-4A70-A38A-79943D27465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3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EE976DF-2186-4228-B051-A64055E54C0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3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485DD96-F4EC-478B-9D3F-7560C787CCF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3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35453E1-6132-437E-9E82-69D54F22352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3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77EDD58-59E5-451F-90BB-A8734807325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3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F7C8FD8-2D19-4B96-8527-863CF941C0B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3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4F813C7-0238-495F-A9C5-84A8CF2FB0F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3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99283CD-29D4-4AD1-88B2-4A3E9AE82BF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3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98D7DF9-1D26-4B86-A634-81751AB8076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3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465F86-3EB0-447B-880A-14FD1D41F44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4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A16710E-F057-481A-B283-FF462869C74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4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276001A-2DEE-49E1-B420-FF38575ADB9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4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03580D0-58F7-4A15-B6D5-F465144666C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4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91A31C2-10FC-44CE-8543-1608652713C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4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0865B4E-8540-4C6C-8792-CE5F8DB728B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4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A411172-3A0D-46A5-B022-A2252EB6912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4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30DC565-E34B-4C6D-9036-A6FAC7DFF83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4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4CE966C-1491-42F8-B91B-5831FB1AF8E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4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ACDD6F7-B00A-4B12-AB76-9D852B74C78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4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C22FD1B-212C-45FE-9E9B-144AC021564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5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59C9D5B-69D5-474F-96C8-5854AC04850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5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A2ADB16-CE2F-4033-8D5D-C024DFC43E7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5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49B4A7F-C5A8-4727-8027-84EF852D85C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5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8B1BEF7-D7B9-412B-A398-709FA149DA4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5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FDAEA6-70B9-48DE-962E-208570755BD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5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3D7637B-CE54-4F33-8945-7A91C8708BA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5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3E6D32D-8BFB-4BEF-9D43-E76922E1929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5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11BFDAD-5E39-43D9-AAF6-1084E291591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5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A0A7AB5-0D57-459B-BC05-14ECD801AE0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5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374EB5A-9070-4F1E-87E2-BE8A5A5EDCE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6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BAAC0FD-4C28-4D46-A9F4-5DF88325E7B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6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C488B4A-A5BA-460F-9073-3D4BF88AE47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6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8515302-FC82-4A55-A966-CAC7477100D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6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27EC1D3-B56A-4A07-AF06-759F5850452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6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C35854E-1FCA-4EF5-AB47-E3E3A3950DB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6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DED770B-3C04-48E9-B54C-F6A24B93CF0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6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A69C257-2F65-4525-B65A-D76683BA891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6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7BE619A-9067-4EF3-BD42-EAD1E033E0F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6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1637662-2B3E-427B-8CA5-8598D44F631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6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7BFF4F8-2A4E-4E0C-B459-99D0C8C8DAE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7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4DD232F-15DF-4C03-A411-6B77962BA6A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7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045BAFE-617D-40D9-8CEA-5B3446162F5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7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5907FC6-9580-43FA-8154-0C4C8BE3206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7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6554925-C17B-4A4E-AE88-E4121A84399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7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32BCBBE-5DD2-4303-A893-8BD3B68AE01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7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3E5128B-3DFB-454D-AFD0-65E105D80BF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7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6FF318F-8086-4A69-A729-A9FD3C6844F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7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A8282D9-7037-4125-8FFD-9D8DA704904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7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3B5794F-15FD-4E4D-9A73-87A8AA727A3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7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67DD1FD-8E2F-403B-864C-DAEC8443FB6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8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1DF4C74-9909-4E45-BDE3-A1C23E0E1AB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8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8076A43-E854-4DDD-A3A3-DC4C13945B7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8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14893AF-B37E-4A55-AAAC-7E480A9D938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8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D1DF44A-40AD-4373-9713-97D8DA354D9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8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37FD07D-816A-4A34-A6CE-68D36B52E69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8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858133F-DE7E-4B22-A711-A359681175C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8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108D238-2E70-48EA-9A28-26F4D05C127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8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18D0DC5-1F97-4A2F-934B-04C3F29E746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8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A392F94-BE5D-4D3E-82DE-D58B1541851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8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6A96A50-1121-43DC-B761-E54C0814968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9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712A197-C2CC-4535-85EE-C9C8031C054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9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3EF6B3E-4855-4CE6-8F5F-7CFB316D97F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9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D769EB9-E341-470D-841E-B0916D8FE78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9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53C3C02-0F2A-4EDA-9AFD-4F35C1CC114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9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B5A648A-723A-48E1-A6E2-2525306E285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9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C661E67-58D2-43D3-8D4D-8E977441CEA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9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506EB52-9EDD-4834-9C48-F20D7E50345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9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B541F8A-D108-4D9D-B8B6-B3C482EC07D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9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E8C8A60-82AA-4507-9F01-16BBAFAC1E8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9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9A6F41C-9E58-4561-99F9-C046783B5F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0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DF12A20-E842-446F-8CF1-9A7B1910014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0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0D18D03-54D5-4E16-8376-F7CFEC6B9EB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0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FE41AB3-C224-43AD-B88D-4D520318124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0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E4141D1-7AA1-4B0B-A342-167051EEB21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0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246F2A0-8CB7-499D-8280-9E56341975E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0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2BE32A5-CEE7-4F5B-AB53-CEE2FE8C807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0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D2D6232-38F1-4810-9F7E-0E1DCB5B99E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0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B5E05B5-1B5D-4357-8B0E-6C533968039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0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76F7119-577C-4042-8A19-446773D7388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0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40E7DEC-5DF5-4E56-8233-0E12DCD90DA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1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C8C53CE-1034-401D-AA31-2498F1A01DC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1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E52B4B3-BA75-4BD6-950A-BB798C5FEBC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1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E710D0C-5C1D-4A69-B55D-51CE2433D3D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1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E6A55A3-27D3-4EA2-A753-B10C58BDF60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1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EE43754-7D7F-4DC1-8953-858081462A0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1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27BD56E-B0FA-4403-A867-72FF1F75AC0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1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34081DC-347E-428B-AB49-752C4CBCFEF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1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DBE3E42-2C2C-47D3-A52D-315B17D6831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1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B73683D-2089-4A37-909B-7CAC26BDA43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1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42F8246-7805-44EF-AB47-71837DB26F0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2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130AD2A-82D4-4E3D-9B1F-F8FAF3FD3C4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2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586DAF3-42BF-4122-B860-2BF2C9A64C3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2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AFFFEBB-BF08-4D93-9AB6-AB00C39AFC6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2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5678092-6FFB-4FA6-B832-18166DC12BC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2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DECFC12-6EDC-425B-8C1E-1938CFA094E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2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22966CE-6E5F-435E-A3F9-4B3344A8D5B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2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AC58E94-675F-4648-A63F-BC727A87F17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2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D8B81CE-0574-42B0-9028-EF57329D605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2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20C98CE-FAD6-45C2-9416-5BDC803CC33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2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1DC9E24-2643-497E-B1BE-C41F9595EAB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3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B7AC8D9-E1DE-430C-ABE0-4E80436EF7A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3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BA12981-D074-478F-95D3-1F5B669D105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3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77A8762-291C-459B-A241-B19ADC78734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3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1AAA6D5-9D46-4285-A517-D76630713D9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3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F2624BB-885D-4F12-9A52-92C41305479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3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D088989-AECE-4D29-856E-08100A0C7BD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3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F9EB2BB-CA42-4A69-B15A-7EB6881DEB7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3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28628A1-9EF2-4597-9CAC-0FD3B1BE488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3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8439C1B-B561-4E96-BD38-0A4B77AD199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3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79F515E-B4CB-4C81-AA86-5AFE3CAC4CD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4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56D94F7-E72C-4C77-B741-5F7AA8F01BB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4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E1F25A7-FE17-40CA-A6F3-EA253F88F57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4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551E365-9603-4CAB-94C9-E31810AF860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4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5E8058D-A079-4FBA-90EE-3B1C12BCCFB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4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E56DA48-B007-4E15-8C7A-D703E7F1A1E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4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A8B3254-ED1E-45EA-BFF9-F85093EDE38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4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5978D68-C68E-4F6E-A995-C68BF493A79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4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0912950-54EC-4DB4-AC4F-8A9041277C6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4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49BBA08-1E35-4079-83D2-260047E37F5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4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0D8CB3F-62EF-43BF-8347-48EE4D72850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5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E464FD5-53E6-4098-8A3A-77AB4E620EC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5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DA89888-A6B0-4DDF-9216-4B69E0D211D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5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F238DC5-BF41-42B8-9705-E3310165A07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5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D26100D-75BA-44E2-BB2A-DCB5D331B20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5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E73DA92-1F72-40BB-BD35-35BED9C8BC0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A3" workbookViewId="0">
      <selection activeCell="B11" sqref="B11"/>
    </sheetView>
  </sheetViews>
  <sheetFormatPr defaultRowHeight="14.4"/>
  <cols>
    <col min="1" max="1" width="5.6640625" customWidth="1"/>
    <col min="2" max="2" width="44.33203125" customWidth="1"/>
    <col min="3" max="3" width="7.109375" customWidth="1"/>
    <col min="4" max="4" width="5.44140625" bestFit="1" customWidth="1"/>
    <col min="5" max="5" width="11.109375" customWidth="1"/>
    <col min="6" max="6" width="5.44140625" bestFit="1" customWidth="1"/>
    <col min="7" max="7" width="7.33203125" customWidth="1"/>
    <col min="8" max="8" width="11.33203125" customWidth="1"/>
  </cols>
  <sheetData>
    <row r="1" spans="1:8" ht="15" customHeight="1">
      <c r="A1" s="82" t="s">
        <v>18</v>
      </c>
      <c r="B1" s="82"/>
      <c r="C1" s="82"/>
      <c r="D1" s="82"/>
      <c r="E1" s="82"/>
      <c r="F1" s="82"/>
      <c r="G1" s="82"/>
      <c r="H1" s="82"/>
    </row>
    <row r="2" spans="1:8" ht="50.4" customHeight="1">
      <c r="A2" s="83" t="s">
        <v>0</v>
      </c>
      <c r="B2" s="83"/>
      <c r="C2" s="83"/>
      <c r="D2" s="83"/>
      <c r="E2" s="83"/>
      <c r="F2" s="83"/>
      <c r="G2" s="83"/>
      <c r="H2" s="83"/>
    </row>
    <row r="3" spans="1:8" ht="15" thickBot="1">
      <c r="A3" s="84" t="s">
        <v>20</v>
      </c>
      <c r="B3" s="84"/>
      <c r="C3" s="84"/>
      <c r="D3" s="84"/>
      <c r="E3" s="84"/>
      <c r="F3" s="85" t="s">
        <v>19</v>
      </c>
      <c r="G3" s="85"/>
      <c r="H3" s="85"/>
    </row>
    <row r="4" spans="1:8">
      <c r="A4" s="25"/>
      <c r="B4" s="48"/>
      <c r="C4" s="26" t="s">
        <v>1</v>
      </c>
      <c r="D4" s="26"/>
      <c r="E4" s="27">
        <v>27773</v>
      </c>
      <c r="F4" s="26"/>
      <c r="G4" s="26"/>
      <c r="H4" s="1"/>
    </row>
    <row r="5" spans="1:8" ht="17.399999999999999">
      <c r="A5" s="3" t="s">
        <v>2</v>
      </c>
      <c r="B5" s="47" t="s">
        <v>22</v>
      </c>
      <c r="C5" s="45" t="s">
        <v>3</v>
      </c>
      <c r="D5" s="4"/>
      <c r="E5" s="5" t="s">
        <v>40</v>
      </c>
      <c r="F5" s="4"/>
      <c r="G5" s="56"/>
      <c r="H5" s="2"/>
    </row>
    <row r="6" spans="1:8" ht="15" thickBot="1">
      <c r="A6" s="6"/>
      <c r="B6" s="46"/>
      <c r="C6" s="45"/>
      <c r="D6" s="7"/>
      <c r="E6" s="8" t="s">
        <v>4</v>
      </c>
      <c r="F6" s="9"/>
      <c r="G6" s="9"/>
      <c r="H6" s="10"/>
    </row>
    <row r="7" spans="1:8" ht="28.2" thickBot="1">
      <c r="A7" s="44" t="s">
        <v>5</v>
      </c>
      <c r="B7" s="54" t="s">
        <v>6</v>
      </c>
      <c r="C7" s="50" t="s">
        <v>7</v>
      </c>
      <c r="D7" s="50" t="s">
        <v>8</v>
      </c>
      <c r="E7" s="51" t="s">
        <v>9</v>
      </c>
      <c r="F7" s="52" t="s">
        <v>10</v>
      </c>
      <c r="G7" s="50" t="s">
        <v>11</v>
      </c>
      <c r="H7" s="51" t="s">
        <v>12</v>
      </c>
    </row>
    <row r="8" spans="1:8" ht="34.200000000000003">
      <c r="A8" s="57">
        <v>1</v>
      </c>
      <c r="B8" s="70" t="s">
        <v>41</v>
      </c>
      <c r="C8" s="72">
        <v>21</v>
      </c>
      <c r="D8" s="73" t="s">
        <v>30</v>
      </c>
      <c r="E8" s="74">
        <v>26200</v>
      </c>
      <c r="F8" s="73" t="s">
        <v>30</v>
      </c>
      <c r="G8" s="55">
        <v>0.18</v>
      </c>
      <c r="H8" s="65">
        <f>C8*E8</f>
        <v>550200</v>
      </c>
    </row>
    <row r="9" spans="1:8" ht="34.200000000000003">
      <c r="A9" s="78">
        <v>2</v>
      </c>
      <c r="B9" s="71" t="s">
        <v>41</v>
      </c>
      <c r="C9" s="75">
        <v>4</v>
      </c>
      <c r="D9" s="76" t="s">
        <v>30</v>
      </c>
      <c r="E9" s="77">
        <v>27300</v>
      </c>
      <c r="F9" s="76" t="s">
        <v>30</v>
      </c>
      <c r="G9" s="49">
        <v>0.18</v>
      </c>
      <c r="H9" s="53">
        <f t="shared" ref="H9:H10" si="0">C9*E9</f>
        <v>109200</v>
      </c>
    </row>
    <row r="10" spans="1:8" ht="34.200000000000003">
      <c r="A10" s="61">
        <v>3</v>
      </c>
      <c r="B10" s="71" t="s">
        <v>42</v>
      </c>
      <c r="C10" s="75">
        <v>4</v>
      </c>
      <c r="D10" s="76" t="s">
        <v>30</v>
      </c>
      <c r="E10" s="77">
        <v>14600</v>
      </c>
      <c r="F10" s="76" t="s">
        <v>30</v>
      </c>
      <c r="G10" s="49">
        <v>0.18</v>
      </c>
      <c r="H10" s="53">
        <f t="shared" si="0"/>
        <v>58400</v>
      </c>
    </row>
    <row r="11" spans="1:8">
      <c r="A11" s="78"/>
      <c r="B11" s="69"/>
      <c r="C11" s="66"/>
      <c r="D11" s="67"/>
      <c r="E11" s="68"/>
      <c r="F11" s="67"/>
      <c r="G11" s="49"/>
      <c r="H11" s="53"/>
    </row>
    <row r="12" spans="1:8">
      <c r="A12" s="61"/>
      <c r="B12" s="69"/>
      <c r="C12" s="66"/>
      <c r="D12" s="67"/>
      <c r="E12" s="68"/>
      <c r="F12" s="67"/>
      <c r="G12" s="49"/>
      <c r="H12" s="53"/>
    </row>
    <row r="13" spans="1:8">
      <c r="A13" s="78"/>
      <c r="B13" s="69"/>
      <c r="C13" s="66"/>
      <c r="D13" s="67"/>
      <c r="E13" s="68"/>
      <c r="F13" s="67"/>
      <c r="G13" s="49"/>
      <c r="H13" s="53"/>
    </row>
    <row r="14" spans="1:8">
      <c r="A14" s="61"/>
      <c r="B14" s="69"/>
      <c r="C14" s="66"/>
      <c r="D14" s="67"/>
      <c r="E14" s="68"/>
      <c r="F14" s="67"/>
      <c r="G14" s="49"/>
      <c r="H14" s="53"/>
    </row>
    <row r="15" spans="1:8">
      <c r="A15" s="78"/>
      <c r="B15" s="69"/>
      <c r="C15" s="66"/>
      <c r="D15" s="67"/>
      <c r="E15" s="68"/>
      <c r="F15" s="67"/>
      <c r="G15" s="49"/>
      <c r="H15" s="53"/>
    </row>
    <row r="16" spans="1:8">
      <c r="A16" s="61"/>
      <c r="B16" s="69"/>
      <c r="C16" s="66"/>
      <c r="D16" s="67"/>
      <c r="E16" s="68"/>
      <c r="F16" s="67"/>
      <c r="G16" s="49"/>
      <c r="H16" s="53"/>
    </row>
    <row r="17" spans="1:8">
      <c r="A17" s="78"/>
      <c r="B17" s="69"/>
      <c r="C17" s="66"/>
      <c r="D17" s="67"/>
      <c r="E17" s="68"/>
      <c r="F17" s="67"/>
      <c r="G17" s="49"/>
      <c r="H17" s="53"/>
    </row>
    <row r="18" spans="1:8">
      <c r="A18" s="61"/>
      <c r="B18" s="69"/>
      <c r="C18" s="66"/>
      <c r="D18" s="67"/>
      <c r="E18" s="68"/>
      <c r="F18" s="67"/>
      <c r="G18" s="49"/>
      <c r="H18" s="53"/>
    </row>
    <row r="19" spans="1:8">
      <c r="A19" s="78"/>
      <c r="B19" s="69"/>
      <c r="C19" s="66"/>
      <c r="D19" s="67"/>
      <c r="E19" s="68"/>
      <c r="F19" s="67"/>
      <c r="G19" s="49"/>
      <c r="H19" s="53"/>
    </row>
    <row r="20" spans="1:8">
      <c r="A20" s="61"/>
      <c r="B20" s="69"/>
      <c r="C20" s="66"/>
      <c r="D20" s="67"/>
      <c r="E20" s="68"/>
      <c r="F20" s="67"/>
      <c r="G20" s="49"/>
      <c r="H20" s="53"/>
    </row>
    <row r="21" spans="1:8" s="38" customFormat="1">
      <c r="A21" s="78"/>
      <c r="B21" s="69"/>
      <c r="C21" s="66"/>
      <c r="D21" s="67"/>
      <c r="E21" s="68"/>
      <c r="F21" s="67"/>
      <c r="G21" s="49"/>
      <c r="H21" s="53"/>
    </row>
    <row r="22" spans="1:8">
      <c r="A22" s="61"/>
      <c r="B22" s="69"/>
      <c r="C22" s="66"/>
      <c r="D22" s="67"/>
      <c r="E22" s="68"/>
      <c r="F22" s="67"/>
      <c r="G22" s="49"/>
      <c r="H22" s="53"/>
    </row>
    <row r="23" spans="1:8">
      <c r="A23" s="78"/>
      <c r="B23" s="69"/>
      <c r="C23" s="66"/>
      <c r="D23" s="67"/>
      <c r="E23" s="68"/>
      <c r="F23" s="67"/>
      <c r="G23" s="49"/>
      <c r="H23" s="53"/>
    </row>
    <row r="24" spans="1:8">
      <c r="A24" s="61"/>
      <c r="B24" s="69"/>
      <c r="C24" s="66"/>
      <c r="D24" s="67"/>
      <c r="E24" s="68"/>
      <c r="F24" s="67"/>
      <c r="G24" s="49"/>
      <c r="H24" s="53"/>
    </row>
    <row r="25" spans="1:8">
      <c r="A25" s="78"/>
      <c r="B25" s="69"/>
      <c r="C25" s="66"/>
      <c r="D25" s="67"/>
      <c r="E25" s="68"/>
      <c r="F25" s="67"/>
      <c r="G25" s="49"/>
      <c r="H25" s="53"/>
    </row>
    <row r="26" spans="1:8">
      <c r="A26" s="61"/>
      <c r="B26" s="69"/>
      <c r="C26" s="66"/>
      <c r="D26" s="67"/>
      <c r="E26" s="68"/>
      <c r="F26" s="67"/>
      <c r="G26" s="49"/>
      <c r="H26" s="53"/>
    </row>
    <row r="27" spans="1:8">
      <c r="A27" s="62"/>
      <c r="B27" s="59"/>
      <c r="C27" s="60"/>
      <c r="D27" s="60"/>
      <c r="E27" s="58"/>
      <c r="F27" s="60"/>
      <c r="G27" s="49"/>
      <c r="H27" s="53"/>
    </row>
    <row r="28" spans="1:8">
      <c r="A28" s="61"/>
      <c r="B28" s="59"/>
      <c r="C28" s="60"/>
      <c r="D28" s="60"/>
      <c r="E28" s="58"/>
      <c r="F28" s="60"/>
      <c r="G28" s="49"/>
      <c r="H28" s="53"/>
    </row>
    <row r="29" spans="1:8">
      <c r="A29" s="61"/>
      <c r="B29" s="59"/>
      <c r="C29" s="60"/>
      <c r="D29" s="60"/>
      <c r="E29" s="58"/>
      <c r="F29" s="60"/>
      <c r="G29" s="49"/>
      <c r="H29" s="53"/>
    </row>
    <row r="30" spans="1:8">
      <c r="A30" s="61"/>
      <c r="B30" s="59"/>
      <c r="C30" s="60"/>
      <c r="D30" s="60"/>
      <c r="E30" s="58"/>
      <c r="F30" s="60"/>
      <c r="G30" s="49"/>
      <c r="H30" s="53"/>
    </row>
    <row r="31" spans="1:8">
      <c r="A31" s="61"/>
      <c r="B31" s="59"/>
      <c r="C31" s="60"/>
      <c r="D31" s="60"/>
      <c r="E31" s="58"/>
      <c r="F31" s="60"/>
      <c r="G31" s="49"/>
      <c r="H31" s="53"/>
    </row>
    <row r="32" spans="1:8" ht="15" thickBot="1">
      <c r="A32" s="61"/>
      <c r="B32" s="59"/>
      <c r="C32" s="60"/>
      <c r="D32" s="60"/>
      <c r="E32" s="58"/>
      <c r="F32" s="60"/>
      <c r="G32" s="49"/>
      <c r="H32" s="53"/>
    </row>
    <row r="33" spans="1:8" ht="15.6">
      <c r="A33" s="33"/>
      <c r="B33" s="39" t="s">
        <v>0</v>
      </c>
      <c r="C33" s="36"/>
      <c r="D33" s="37"/>
      <c r="E33" s="23"/>
      <c r="F33" s="37"/>
      <c r="G33" s="34"/>
      <c r="H33" s="35"/>
    </row>
    <row r="34" spans="1:8" ht="15.6">
      <c r="A34" s="33"/>
      <c r="B34" s="40" t="s">
        <v>23</v>
      </c>
      <c r="C34" s="36"/>
      <c r="D34" s="37"/>
      <c r="E34" s="23"/>
      <c r="F34" s="37"/>
      <c r="G34" s="34"/>
      <c r="H34" s="35"/>
    </row>
    <row r="35" spans="1:8" ht="15.6">
      <c r="A35" s="33"/>
      <c r="B35" s="41" t="s">
        <v>24</v>
      </c>
      <c r="C35" s="36"/>
      <c r="D35" s="37"/>
      <c r="E35" s="23"/>
      <c r="F35" s="37"/>
      <c r="G35" s="34"/>
      <c r="H35" s="35"/>
    </row>
    <row r="36" spans="1:8" ht="15.6">
      <c r="A36" s="33"/>
      <c r="B36" s="42" t="s">
        <v>25</v>
      </c>
      <c r="C36" s="36"/>
      <c r="D36" s="36"/>
      <c r="E36" s="23"/>
      <c r="F36" s="36"/>
      <c r="G36" s="24"/>
      <c r="H36" s="35"/>
    </row>
    <row r="37" spans="1:8" ht="16.2" thickBot="1">
      <c r="A37" s="30"/>
      <c r="B37" s="43" t="s">
        <v>26</v>
      </c>
      <c r="C37" s="31"/>
      <c r="D37" s="31"/>
      <c r="E37" s="32"/>
      <c r="F37" s="90" t="s">
        <v>21</v>
      </c>
      <c r="G37" s="91"/>
      <c r="H37" s="29">
        <f>SUM(H8:H27)</f>
        <v>717800</v>
      </c>
    </row>
    <row r="38" spans="1:8" ht="15.6">
      <c r="A38" s="11"/>
      <c r="B38" s="12" t="s">
        <v>13</v>
      </c>
      <c r="C38" s="13"/>
      <c r="D38" s="12"/>
      <c r="E38" s="86" t="s">
        <v>14</v>
      </c>
      <c r="F38" s="86"/>
      <c r="G38" s="86"/>
      <c r="H38" s="87"/>
    </row>
    <row r="39" spans="1:8" ht="15">
      <c r="A39" s="11"/>
      <c r="B39" s="15" t="s">
        <v>15</v>
      </c>
      <c r="C39" s="13"/>
      <c r="D39" s="12"/>
      <c r="E39" s="14"/>
      <c r="F39" s="28"/>
      <c r="G39" s="13"/>
      <c r="H39" s="16"/>
    </row>
    <row r="40" spans="1:8" ht="15">
      <c r="A40" s="11"/>
      <c r="B40" s="15" t="s">
        <v>27</v>
      </c>
      <c r="C40" s="13"/>
      <c r="D40" s="12"/>
      <c r="E40" s="14"/>
      <c r="F40" s="28"/>
      <c r="G40" s="13"/>
      <c r="H40" s="16"/>
    </row>
    <row r="41" spans="1:8" ht="15">
      <c r="A41" s="11"/>
      <c r="B41" s="15" t="s">
        <v>28</v>
      </c>
      <c r="C41" s="13"/>
      <c r="D41" s="12"/>
      <c r="E41" s="14"/>
      <c r="F41" s="28"/>
      <c r="G41" s="13"/>
      <c r="H41" s="16"/>
    </row>
    <row r="42" spans="1:8" ht="15">
      <c r="A42" s="11"/>
      <c r="B42" s="15"/>
      <c r="C42" s="17"/>
      <c r="D42" s="17"/>
      <c r="E42" s="18"/>
      <c r="F42" s="17"/>
      <c r="G42" s="17"/>
      <c r="H42" s="19"/>
    </row>
    <row r="43" spans="1:8" ht="15.6" thickBot="1">
      <c r="A43" s="20"/>
      <c r="B43" s="21"/>
      <c r="C43" s="22"/>
      <c r="D43" s="22"/>
      <c r="E43" s="88" t="s">
        <v>16</v>
      </c>
      <c r="F43" s="88"/>
      <c r="G43" s="88"/>
      <c r="H43" s="89"/>
    </row>
    <row r="44" spans="1:8" ht="18" thickBot="1">
      <c r="A44" s="79" t="s">
        <v>17</v>
      </c>
      <c r="B44" s="80"/>
      <c r="C44" s="80"/>
      <c r="D44" s="80"/>
      <c r="E44" s="80"/>
      <c r="F44" s="80"/>
      <c r="G44" s="80"/>
      <c r="H44" s="81"/>
    </row>
  </sheetData>
  <mergeCells count="8">
    <mergeCell ref="A44:H44"/>
    <mergeCell ref="A1:H1"/>
    <mergeCell ref="A2:H2"/>
    <mergeCell ref="A3:E3"/>
    <mergeCell ref="F3:H3"/>
    <mergeCell ref="E38:H38"/>
    <mergeCell ref="E43:H43"/>
    <mergeCell ref="F37:G37"/>
  </mergeCells>
  <pageMargins left="0.28999999999999998" right="0.22" top="0.22" bottom="0.25" header="0.24" footer="0.2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B2" sqref="B2:B5"/>
    </sheetView>
  </sheetViews>
  <sheetFormatPr defaultRowHeight="14.4"/>
  <cols>
    <col min="2" max="2" width="28.44140625" customWidth="1"/>
  </cols>
  <sheetData>
    <row r="1" spans="1:5">
      <c r="A1" s="63" t="s">
        <v>31</v>
      </c>
      <c r="B1" s="63" t="s">
        <v>32</v>
      </c>
      <c r="C1" s="63" t="s">
        <v>33</v>
      </c>
      <c r="D1" s="63" t="s">
        <v>34</v>
      </c>
      <c r="E1" s="63" t="s">
        <v>35</v>
      </c>
    </row>
    <row r="2" spans="1:5">
      <c r="A2" s="60">
        <v>1</v>
      </c>
      <c r="B2" s="64" t="s">
        <v>36</v>
      </c>
      <c r="C2" s="60" t="s">
        <v>29</v>
      </c>
      <c r="D2" s="60">
        <v>20</v>
      </c>
      <c r="E2" s="63"/>
    </row>
    <row r="3" spans="1:5">
      <c r="A3" s="60">
        <v>2</v>
      </c>
      <c r="B3" s="64" t="s">
        <v>37</v>
      </c>
      <c r="C3" s="60" t="s">
        <v>29</v>
      </c>
      <c r="D3" s="60">
        <v>20</v>
      </c>
      <c r="E3" s="63"/>
    </row>
    <row r="4" spans="1:5">
      <c r="A4" s="60">
        <v>3</v>
      </c>
      <c r="B4" s="59" t="s">
        <v>38</v>
      </c>
      <c r="C4" s="60" t="s">
        <v>29</v>
      </c>
      <c r="D4" s="60">
        <v>15</v>
      </c>
      <c r="E4" s="63"/>
    </row>
    <row r="5" spans="1:5">
      <c r="A5" s="60">
        <v>4</v>
      </c>
      <c r="B5" s="59" t="s">
        <v>39</v>
      </c>
      <c r="C5" s="60" t="s">
        <v>29</v>
      </c>
      <c r="D5" s="60">
        <v>5</v>
      </c>
      <c r="E5" s="6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</dc:creator>
  <cp:lastModifiedBy>Nirmal Dewasi</cp:lastModifiedBy>
  <cp:lastPrinted>2025-08-13T06:15:15Z</cp:lastPrinted>
  <dcterms:created xsi:type="dcterms:W3CDTF">2021-03-18T15:08:59Z</dcterms:created>
  <dcterms:modified xsi:type="dcterms:W3CDTF">2025-08-13T06:31:32Z</dcterms:modified>
</cp:coreProperties>
</file>