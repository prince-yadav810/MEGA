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AE52B73D-82C6-4865-ACBB-CC366A71F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5" i="4"/>
  <c r="H16" i="4"/>
  <c r="H17" i="4"/>
  <c r="H18" i="4"/>
  <c r="H19" i="4"/>
  <c r="H13" i="4"/>
  <c r="H12" i="4"/>
  <c r="H11" i="4"/>
  <c r="H10" i="4"/>
  <c r="H9" i="4" l="1"/>
  <c r="H8" i="4" l="1"/>
  <c r="H41" i="4" l="1"/>
</calcChain>
</file>

<file path=xl/sharedStrings.xml><?xml version="1.0" encoding="utf-8"?>
<sst xmlns="http://schemas.openxmlformats.org/spreadsheetml/2006/main" count="70" uniqueCount="47">
  <si>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</si>
  <si>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</si>
  <si>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</si>
  <si>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</si>
  <si>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</si>
  <si>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</si>
  <si>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</si>
  <si>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</si>
  <si>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</si>
  <si>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</si>
  <si>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</si>
  <si>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</si>
  <si>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</si>
  <si>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</si>
  <si>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</si>
  <si>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</si>
  <si>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</si>
  <si>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</si>
  <si>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</si>
  <si>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</si>
  <si>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</si>
  <si>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TOTAL</t>
  </si>
  <si>
    <t>PAYMENT IMMEDIATE</t>
  </si>
  <si>
    <t>Bank Name: IDBI BANK</t>
  </si>
  <si>
    <t>A/c No.: 0047102000009430</t>
  </si>
  <si>
    <t>Branch: MIDC TALOJA</t>
  </si>
  <si>
    <t>IFS Code: IBKL0000047</t>
  </si>
  <si>
    <t>OFFER VALIDITY 1 WEEKS</t>
  </si>
  <si>
    <t>NOS</t>
  </si>
  <si>
    <t>1). LED TORCH LIGHTS - 5 NOS (10 TO 20 MTRS RANGE) </t>
  </si>
  <si>
    <t>2). PVC TUBE ROLL 63MM - 150 KGS .</t>
  </si>
  <si>
    <t>TRANSPORT EXTRA</t>
  </si>
  <si>
    <t>3" PAINTING BRUSH</t>
  </si>
  <si>
    <t>9" PAINTING ROLLER</t>
  </si>
  <si>
    <t xml:space="preserve">THINNER NC </t>
  </si>
  <si>
    <t>GARDEN FIBER NET</t>
  </si>
  <si>
    <t>ALLUMINIUM LADDER 16FT WITH HANDEL</t>
  </si>
  <si>
    <t>ALLUMINIUM LADDER 14FT WITH HANDEL</t>
  </si>
  <si>
    <t>EMERY PAPER 150NO.</t>
  </si>
  <si>
    <t>CHANGE OVER SWITCH FOUR POLE 400AMP WITH BOX</t>
  </si>
  <si>
    <t xml:space="preserve">HARD BROOM </t>
  </si>
  <si>
    <t>WATER STOPER (CAST IRON)</t>
  </si>
  <si>
    <t>WIRE BRUSH</t>
  </si>
  <si>
    <t>PAINT RED BERGER</t>
  </si>
  <si>
    <t>LTR</t>
  </si>
  <si>
    <t>MONTECARLO LIMITED</t>
  </si>
  <si>
    <t>05.07.2025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</si>
</sst>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3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9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9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12"/>
      <color rgb="FF000000"/>
      <name val="Calibri"/>
      <family val="2"/>
      <scheme val="minor"/>
    </font>
    <font>
      <sz val="9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6" fillId="0" borderId="0" applyNumberFormat="0" applyFill="0" applyBorder="0" applyAlignment="0" applyProtection="0"/>
    <xf numFmtId="43" fontId="29" fillId="0" borderId="0" applyFont="0" applyFill="0" applyBorder="0" applyAlignment="0" applyProtection="0"/>
  </cellStyleXfs>
  <cellXfs count="9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9" fillId="0" borderId="0" xfId="0" applyFont="1" applyAlignment="1">
      <alignment wrapText="1"/>
    </xf>
    <xf numFmtId="2" fontId="0" fillId="0" borderId="0" xfId="0" applyNumberFormat="1"/>
    <xf numFmtId="0" fontId="21" fillId="0" borderId="21" xfId="0" applyFont="1" applyBorder="1" applyAlignment="1">
      <alignment horizontal="center" vertical="center" wrapText="1"/>
    </xf>
    <xf numFmtId="9" fontId="21" fillId="3" borderId="15" xfId="0" applyNumberFormat="1" applyFont="1" applyFill="1" applyBorder="1" applyAlignment="1">
      <alignment horizontal="center" vertical="center" wrapText="1"/>
    </xf>
    <xf numFmtId="2" fontId="21" fillId="3" borderId="17" xfId="0" applyNumberFormat="1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top" wrapText="1"/>
    </xf>
    <xf numFmtId="0" fontId="24" fillId="3" borderId="25" xfId="0" applyFont="1" applyFill="1" applyBorder="1" applyAlignment="1">
      <alignment horizontal="left" vertical="top" wrapText="1"/>
    </xf>
    <xf numFmtId="0" fontId="22" fillId="0" borderId="2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2" fillId="0" borderId="0" xfId="0" applyFont="1"/>
    <xf numFmtId="2" fontId="22" fillId="0" borderId="0" xfId="0" applyNumberFormat="1" applyFont="1"/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9" fontId="25" fillId="3" borderId="15" xfId="0" applyNumberFormat="1" applyFont="1" applyFill="1" applyBorder="1" applyAlignment="1">
      <alignment horizontal="center" vertical="center" wrapText="1"/>
    </xf>
    <xf numFmtId="2" fontId="27" fillId="0" borderId="14" xfId="1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8" fillId="3" borderId="27" xfId="0" applyFont="1" applyFill="1" applyBorder="1" applyAlignment="1">
      <alignment vertical="center" wrapText="1"/>
    </xf>
    <xf numFmtId="0" fontId="28" fillId="3" borderId="27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9" fontId="21" fillId="3" borderId="14" xfId="0" applyNumberFormat="1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2" fontId="21" fillId="3" borderId="24" xfId="0" applyNumberFormat="1" applyFont="1" applyFill="1" applyBorder="1" applyAlignment="1">
      <alignment horizontal="center" vertical="center" wrapText="1"/>
    </xf>
    <xf numFmtId="2" fontId="21" fillId="3" borderId="25" xfId="0" applyNumberFormat="1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wrapText="1"/>
    </xf>
    <xf numFmtId="0" fontId="28" fillId="0" borderId="14" xfId="0" applyFont="1" applyBorder="1"/>
    <xf numFmtId="0" fontId="28" fillId="3" borderId="14" xfId="0" applyFont="1" applyFill="1" applyBorder="1" applyAlignment="1">
      <alignment vertical="center" wrapText="1"/>
    </xf>
    <xf numFmtId="0" fontId="28" fillId="3" borderId="27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</cellXfs>
  <cellStyles count="3">
    <cellStyle name="Comma 2" xfId="2" xr:uid="{00000000-0005-0000-0000-000000000000}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2" zoomScaleNormal="100" workbookViewId="0">
      <selection activeCell="E6" sqref="E6"/>
    </sheetView>
  </sheetViews>
  <sheetFormatPr defaultRowHeight="14.4"/>
  <cols>
    <col min="1" max="1" width="5.6640625" customWidth="1"/>
    <col min="2" max="2" width="45.33203125" customWidth="1"/>
    <col min="3" max="3" width="7.109375" customWidth="1"/>
    <col min="4" max="4" width="5.44140625" bestFit="1" customWidth="1"/>
    <col min="5" max="5" width="11" customWidth="1"/>
    <col min="6" max="6" width="5.44140625" bestFit="1" customWidth="1"/>
    <col min="7" max="7" width="7.33203125" customWidth="1"/>
    <col min="8" max="8" width="11.33203125" customWidth="1"/>
    <col min="9" max="9" width="14.6640625" bestFit="1" customWidth="1"/>
    <col min="12" max="12" width="28.33203125" bestFit="1" customWidth="1"/>
  </cols>
  <sheetData>
    <row r="1" spans="1:12" ht="15" customHeight="1">
      <c r="A1" s="82" t="s">
        <v>18</v>
      </c>
      <c r="B1" s="82"/>
      <c r="C1" s="82"/>
      <c r="D1" s="82"/>
      <c r="E1" s="82"/>
      <c r="F1" s="82"/>
      <c r="G1" s="82"/>
      <c r="H1" s="82"/>
    </row>
    <row r="2" spans="1:12" ht="50.4" customHeight="1">
      <c r="A2" s="83" t="s">
        <v>0</v>
      </c>
      <c r="B2" s="83"/>
      <c r="C2" s="83"/>
      <c r="D2" s="83"/>
      <c r="E2" s="83"/>
      <c r="F2" s="83"/>
      <c r="G2" s="83"/>
      <c r="H2" s="83"/>
    </row>
    <row r="3" spans="1:12" ht="15" thickBot="1">
      <c r="A3" s="84" t="s">
        <v>20</v>
      </c>
      <c r="B3" s="84"/>
      <c r="C3" s="84"/>
      <c r="D3" s="84"/>
      <c r="E3" s="84"/>
      <c r="F3" s="85" t="s">
        <v>19</v>
      </c>
      <c r="G3" s="85"/>
      <c r="H3" s="85"/>
    </row>
    <row r="4" spans="1:12">
      <c r="A4" s="29"/>
      <c r="B4" s="1"/>
      <c r="C4" s="30" t="s">
        <v>1</v>
      </c>
      <c r="D4" s="30"/>
      <c r="E4" s="31">
        <v>27759</v>
      </c>
      <c r="F4" s="30"/>
      <c r="G4" s="30"/>
      <c r="H4" s="1"/>
    </row>
    <row r="5" spans="1:12" ht="17.399999999999999">
      <c r="A5" s="3" t="s">
        <v>2</v>
      </c>
      <c r="B5" s="44" t="s">
        <v>45</v>
      </c>
      <c r="C5" s="41" t="s">
        <v>3</v>
      </c>
      <c r="D5" s="4"/>
      <c r="E5" s="5" t="s">
        <v>46</v>
      </c>
      <c r="F5" s="4"/>
      <c r="G5" s="4"/>
      <c r="H5" s="2"/>
    </row>
    <row r="6" spans="1:12" ht="15" thickBot="1">
      <c r="A6" s="6"/>
      <c r="B6" s="7"/>
      <c r="C6" s="8"/>
      <c r="D6" s="8"/>
      <c r="E6" s="9" t="s">
        <v>4</v>
      </c>
      <c r="F6" s="10"/>
      <c r="G6" s="10"/>
      <c r="H6" s="11"/>
    </row>
    <row r="7" spans="1:12" ht="28.2" thickBot="1">
      <c r="A7" s="12" t="s">
        <v>5</v>
      </c>
      <c r="B7" s="56" t="s">
        <v>6</v>
      </c>
      <c r="C7" s="13" t="s">
        <v>7</v>
      </c>
      <c r="D7" s="13" t="s">
        <v>8</v>
      </c>
      <c r="E7" s="14" t="s">
        <v>9</v>
      </c>
      <c r="F7" s="57" t="s">
        <v>10</v>
      </c>
      <c r="G7" s="13" t="s">
        <v>11</v>
      </c>
      <c r="H7" s="14" t="s">
        <v>12</v>
      </c>
    </row>
    <row r="8" spans="1:12">
      <c r="A8" s="70">
        <v>1</v>
      </c>
      <c r="B8" s="75" t="s">
        <v>43</v>
      </c>
      <c r="C8" s="71">
        <v>40</v>
      </c>
      <c r="D8" s="71" t="s">
        <v>44</v>
      </c>
      <c r="E8" s="72">
        <v>180</v>
      </c>
      <c r="F8" s="71" t="s">
        <v>44</v>
      </c>
      <c r="G8" s="47">
        <v>0.18</v>
      </c>
      <c r="H8" s="73">
        <f t="shared" ref="H8:H19" si="0">E8*C8</f>
        <v>7200</v>
      </c>
      <c r="L8" s="45"/>
    </row>
    <row r="9" spans="1:12" s="54" customFormat="1">
      <c r="A9" s="68">
        <v>2</v>
      </c>
      <c r="B9" s="76" t="s">
        <v>32</v>
      </c>
      <c r="C9" s="63">
        <v>4</v>
      </c>
      <c r="D9" s="63" t="s">
        <v>28</v>
      </c>
      <c r="E9" s="65">
        <v>35</v>
      </c>
      <c r="F9" s="63" t="s">
        <v>28</v>
      </c>
      <c r="G9" s="69">
        <v>0.18</v>
      </c>
      <c r="H9" s="74">
        <f t="shared" si="0"/>
        <v>140</v>
      </c>
      <c r="L9" s="55"/>
    </row>
    <row r="10" spans="1:12">
      <c r="A10" s="68">
        <v>3</v>
      </c>
      <c r="B10" s="77" t="s">
        <v>33</v>
      </c>
      <c r="C10" s="63">
        <v>10</v>
      </c>
      <c r="D10" s="63" t="s">
        <v>28</v>
      </c>
      <c r="E10" s="65">
        <v>140</v>
      </c>
      <c r="F10" s="63" t="s">
        <v>28</v>
      </c>
      <c r="G10" s="69">
        <v>0.18</v>
      </c>
      <c r="H10" s="74">
        <f t="shared" si="0"/>
        <v>1400</v>
      </c>
      <c r="L10" s="45"/>
    </row>
    <row r="11" spans="1:12">
      <c r="A11" s="66">
        <v>4</v>
      </c>
      <c r="B11" s="61" t="s">
        <v>34</v>
      </c>
      <c r="C11" s="62">
        <v>10</v>
      </c>
      <c r="D11" s="62" t="s">
        <v>44</v>
      </c>
      <c r="E11" s="65">
        <v>95</v>
      </c>
      <c r="F11" s="62" t="s">
        <v>44</v>
      </c>
      <c r="G11" s="47">
        <v>0.18</v>
      </c>
      <c r="H11" s="74">
        <f t="shared" si="0"/>
        <v>950</v>
      </c>
      <c r="L11" s="45"/>
    </row>
    <row r="12" spans="1:12">
      <c r="A12" s="60">
        <v>5</v>
      </c>
      <c r="B12" s="61" t="s">
        <v>35</v>
      </c>
      <c r="C12" s="62">
        <v>2250</v>
      </c>
      <c r="D12" s="62" t="s">
        <v>28</v>
      </c>
      <c r="E12" s="64">
        <v>7.2</v>
      </c>
      <c r="F12" s="62" t="s">
        <v>28</v>
      </c>
      <c r="G12" s="47">
        <v>0.18</v>
      </c>
      <c r="H12" s="74">
        <f t="shared" si="0"/>
        <v>16200</v>
      </c>
      <c r="L12" s="45"/>
    </row>
    <row r="13" spans="1:12">
      <c r="A13" s="60">
        <v>6</v>
      </c>
      <c r="B13" s="61" t="s">
        <v>36</v>
      </c>
      <c r="C13" s="62">
        <v>2</v>
      </c>
      <c r="D13" s="62" t="s">
        <v>28</v>
      </c>
      <c r="E13" s="64">
        <v>7215</v>
      </c>
      <c r="F13" s="62" t="s">
        <v>28</v>
      </c>
      <c r="G13" s="47">
        <v>0.18</v>
      </c>
      <c r="H13" s="74">
        <f t="shared" si="0"/>
        <v>14430</v>
      </c>
      <c r="L13" s="45"/>
    </row>
    <row r="14" spans="1:12">
      <c r="A14" s="60">
        <v>7</v>
      </c>
      <c r="B14" s="61" t="s">
        <v>37</v>
      </c>
      <c r="C14" s="62">
        <v>2</v>
      </c>
      <c r="D14" s="62" t="s">
        <v>28</v>
      </c>
      <c r="E14" s="64">
        <v>6320</v>
      </c>
      <c r="F14" s="62" t="s">
        <v>28</v>
      </c>
      <c r="G14" s="47">
        <v>0.18</v>
      </c>
      <c r="H14" s="74">
        <f t="shared" si="0"/>
        <v>12640</v>
      </c>
      <c r="L14" s="45"/>
    </row>
    <row r="15" spans="1:12">
      <c r="A15" s="60">
        <v>8</v>
      </c>
      <c r="B15" s="78" t="s">
        <v>38</v>
      </c>
      <c r="C15" s="62">
        <v>20</v>
      </c>
      <c r="D15" s="62" t="s">
        <v>28</v>
      </c>
      <c r="E15" s="64">
        <v>10</v>
      </c>
      <c r="F15" s="62" t="s">
        <v>28</v>
      </c>
      <c r="G15" s="47">
        <v>0.18</v>
      </c>
      <c r="H15" s="74">
        <f t="shared" si="0"/>
        <v>200</v>
      </c>
      <c r="L15" s="45"/>
    </row>
    <row r="16" spans="1:12" ht="22.8">
      <c r="A16" s="60">
        <v>9</v>
      </c>
      <c r="B16" s="61" t="s">
        <v>39</v>
      </c>
      <c r="C16" s="62">
        <v>1</v>
      </c>
      <c r="D16" s="62" t="s">
        <v>28</v>
      </c>
      <c r="E16" s="64">
        <v>30354</v>
      </c>
      <c r="F16" s="62" t="s">
        <v>28</v>
      </c>
      <c r="G16" s="47">
        <v>0.18</v>
      </c>
      <c r="H16" s="74">
        <f t="shared" si="0"/>
        <v>30354</v>
      </c>
      <c r="L16" s="45"/>
    </row>
    <row r="17" spans="1:12">
      <c r="A17" s="60">
        <v>10</v>
      </c>
      <c r="B17" s="61" t="s">
        <v>40</v>
      </c>
      <c r="C17" s="62">
        <v>20</v>
      </c>
      <c r="D17" s="62" t="s">
        <v>28</v>
      </c>
      <c r="E17" s="64">
        <v>60</v>
      </c>
      <c r="F17" s="62" t="s">
        <v>28</v>
      </c>
      <c r="G17" s="47">
        <v>0.18</v>
      </c>
      <c r="H17" s="74">
        <f t="shared" si="0"/>
        <v>1200</v>
      </c>
      <c r="L17" s="45"/>
    </row>
    <row r="18" spans="1:12" ht="15" thickBot="1">
      <c r="A18" s="60">
        <v>11</v>
      </c>
      <c r="B18" s="61" t="s">
        <v>41</v>
      </c>
      <c r="C18" s="62">
        <v>200</v>
      </c>
      <c r="D18" s="62" t="s">
        <v>28</v>
      </c>
      <c r="E18" s="64">
        <v>52</v>
      </c>
      <c r="F18" s="62" t="s">
        <v>28</v>
      </c>
      <c r="G18" s="47">
        <v>0.18</v>
      </c>
      <c r="H18" s="74">
        <f t="shared" si="0"/>
        <v>10400</v>
      </c>
      <c r="L18" s="45"/>
    </row>
    <row r="19" spans="1:12">
      <c r="A19" s="60">
        <v>12</v>
      </c>
      <c r="B19" s="61" t="s">
        <v>42</v>
      </c>
      <c r="C19" s="62">
        <v>20</v>
      </c>
      <c r="D19" s="62" t="s">
        <v>28</v>
      </c>
      <c r="E19" s="64">
        <v>30</v>
      </c>
      <c r="F19" s="62" t="s">
        <v>28</v>
      </c>
      <c r="G19" s="47">
        <v>0.18</v>
      </c>
      <c r="H19" s="74">
        <f t="shared" si="0"/>
        <v>600</v>
      </c>
      <c r="L19" s="45"/>
    </row>
    <row r="20" spans="1:12">
      <c r="A20" s="46"/>
      <c r="B20" s="61"/>
      <c r="C20" s="62"/>
      <c r="D20" s="62"/>
      <c r="E20" s="64"/>
      <c r="F20" s="62"/>
      <c r="G20" s="47"/>
      <c r="H20" s="48"/>
      <c r="L20" s="45"/>
    </row>
    <row r="21" spans="1:12">
      <c r="A21" s="46"/>
      <c r="B21" s="61"/>
      <c r="C21" s="62"/>
      <c r="D21" s="62"/>
      <c r="E21" s="64"/>
      <c r="F21" s="62"/>
      <c r="G21" s="47"/>
      <c r="H21" s="48"/>
      <c r="L21" s="45"/>
    </row>
    <row r="22" spans="1:12">
      <c r="A22" s="46"/>
      <c r="B22" s="61"/>
      <c r="C22" s="62"/>
      <c r="D22" s="62"/>
      <c r="E22" s="64"/>
      <c r="F22" s="62"/>
      <c r="G22" s="47"/>
      <c r="H22" s="48"/>
      <c r="L22" s="45"/>
    </row>
    <row r="23" spans="1:12">
      <c r="A23" s="46"/>
      <c r="B23" s="61"/>
      <c r="C23" s="62"/>
      <c r="D23" s="62"/>
      <c r="E23" s="64"/>
      <c r="F23" s="62"/>
      <c r="G23" s="47"/>
      <c r="H23" s="48"/>
    </row>
    <row r="24" spans="1:12">
      <c r="A24" s="46"/>
      <c r="B24" s="61"/>
      <c r="C24" s="62"/>
      <c r="D24" s="62"/>
      <c r="E24" s="64"/>
      <c r="F24" s="62"/>
      <c r="G24" s="47"/>
      <c r="H24" s="48"/>
    </row>
    <row r="25" spans="1:12">
      <c r="A25" s="46"/>
      <c r="B25" s="61"/>
      <c r="C25" s="62"/>
      <c r="D25" s="62"/>
      <c r="E25" s="64"/>
      <c r="F25" s="62"/>
      <c r="G25" s="47"/>
      <c r="H25" s="48"/>
    </row>
    <row r="26" spans="1:12">
      <c r="A26" s="46"/>
      <c r="B26" s="61"/>
      <c r="C26" s="62"/>
      <c r="D26" s="62"/>
      <c r="E26" s="64"/>
      <c r="F26" s="62"/>
      <c r="G26" s="47"/>
      <c r="H26" s="48"/>
    </row>
    <row r="27" spans="1:12">
      <c r="A27" s="46"/>
      <c r="B27" s="61"/>
      <c r="C27" s="62"/>
      <c r="D27" s="62"/>
      <c r="E27" s="64"/>
      <c r="F27" s="62"/>
      <c r="G27" s="47"/>
      <c r="H27" s="48"/>
    </row>
    <row r="28" spans="1:12">
      <c r="A28" s="46"/>
      <c r="B28" s="61"/>
      <c r="C28" s="62"/>
      <c r="D28" s="62"/>
      <c r="E28" s="64"/>
      <c r="F28" s="62"/>
      <c r="G28" s="47"/>
      <c r="H28" s="48"/>
    </row>
    <row r="29" spans="1:12">
      <c r="A29" s="46"/>
      <c r="B29" s="61"/>
      <c r="C29" s="62"/>
      <c r="D29" s="62"/>
      <c r="E29" s="64"/>
      <c r="F29" s="62"/>
      <c r="G29" s="47"/>
      <c r="H29" s="48"/>
    </row>
    <row r="30" spans="1:12">
      <c r="A30" s="46"/>
      <c r="B30" s="61"/>
      <c r="C30" s="62"/>
      <c r="D30" s="62"/>
      <c r="E30" s="64"/>
      <c r="F30" s="62"/>
      <c r="G30" s="47"/>
      <c r="H30" s="48"/>
    </row>
    <row r="31" spans="1:12">
      <c r="A31" s="46"/>
      <c r="B31" s="61"/>
      <c r="C31" s="62"/>
      <c r="D31" s="62"/>
      <c r="E31" s="64"/>
      <c r="F31" s="62"/>
      <c r="G31" s="47"/>
      <c r="H31" s="48"/>
    </row>
    <row r="32" spans="1:12">
      <c r="A32" s="46"/>
      <c r="B32" s="61"/>
      <c r="C32" s="62"/>
      <c r="D32" s="62"/>
      <c r="E32" s="64"/>
      <c r="F32" s="62"/>
      <c r="G32" s="47"/>
      <c r="H32" s="48"/>
    </row>
    <row r="33" spans="1:8">
      <c r="A33" s="46"/>
      <c r="B33" s="61"/>
      <c r="C33" s="62"/>
      <c r="D33" s="62"/>
      <c r="E33" s="64"/>
      <c r="F33" s="62"/>
      <c r="G33" s="47"/>
      <c r="H33" s="48"/>
    </row>
    <row r="34" spans="1:8">
      <c r="A34" s="46"/>
      <c r="B34" s="61"/>
      <c r="C34" s="62"/>
      <c r="D34" s="62"/>
      <c r="E34" s="64"/>
      <c r="F34" s="62"/>
      <c r="G34" s="47"/>
      <c r="H34" s="48"/>
    </row>
    <row r="35" spans="1:8">
      <c r="A35" s="46"/>
      <c r="B35" s="61"/>
      <c r="C35" s="62"/>
      <c r="D35" s="62"/>
      <c r="E35" s="64"/>
      <c r="F35" s="62"/>
      <c r="G35" s="47"/>
      <c r="H35" s="48"/>
    </row>
    <row r="36" spans="1:8" ht="16.2" thickBot="1">
      <c r="A36" s="37"/>
      <c r="B36" s="40"/>
      <c r="C36" s="42"/>
      <c r="D36" s="43"/>
      <c r="E36" s="27"/>
      <c r="F36" s="43"/>
      <c r="G36" s="38"/>
      <c r="H36" s="39"/>
    </row>
    <row r="37" spans="1:8" ht="15.6">
      <c r="A37" s="37"/>
      <c r="B37" s="49" t="s">
        <v>0</v>
      </c>
      <c r="C37" s="42"/>
      <c r="D37" s="43"/>
      <c r="E37" s="58"/>
      <c r="F37" s="43"/>
      <c r="G37" s="58"/>
      <c r="H37" s="39"/>
    </row>
    <row r="38" spans="1:8" ht="15.6">
      <c r="A38" s="37"/>
      <c r="B38" s="50" t="s">
        <v>23</v>
      </c>
      <c r="C38" s="42"/>
      <c r="D38" s="43"/>
      <c r="E38" s="59"/>
      <c r="F38" s="58"/>
      <c r="G38" s="38"/>
      <c r="H38" s="39"/>
    </row>
    <row r="39" spans="1:8" ht="15.6">
      <c r="A39" s="37"/>
      <c r="B39" s="51" t="s">
        <v>24</v>
      </c>
      <c r="C39" s="42"/>
      <c r="D39" s="43"/>
      <c r="E39" s="27"/>
      <c r="F39" s="43"/>
      <c r="G39" s="38"/>
      <c r="H39" s="39"/>
    </row>
    <row r="40" spans="1:8" ht="15.6">
      <c r="A40" s="37"/>
      <c r="B40" s="52" t="s">
        <v>25</v>
      </c>
      <c r="C40" s="42"/>
      <c r="D40" s="42"/>
      <c r="E40" s="27"/>
      <c r="F40" s="42"/>
      <c r="G40" s="28"/>
      <c r="H40" s="39"/>
    </row>
    <row r="41" spans="1:8" ht="16.2" thickBot="1">
      <c r="A41" s="34"/>
      <c r="B41" s="53" t="s">
        <v>26</v>
      </c>
      <c r="C41" s="35"/>
      <c r="D41" s="35"/>
      <c r="E41" s="36"/>
      <c r="F41" s="90" t="s">
        <v>21</v>
      </c>
      <c r="G41" s="91"/>
      <c r="H41" s="33">
        <f>SUM(H8:H40)</f>
        <v>95714</v>
      </c>
    </row>
    <row r="42" spans="1:8" ht="15.6">
      <c r="A42" s="15"/>
      <c r="B42" s="16" t="s">
        <v>13</v>
      </c>
      <c r="C42" s="17"/>
      <c r="D42" s="16"/>
      <c r="E42" s="86" t="s">
        <v>14</v>
      </c>
      <c r="F42" s="86"/>
      <c r="G42" s="86"/>
      <c r="H42" s="87"/>
    </row>
    <row r="43" spans="1:8" ht="15">
      <c r="A43" s="15"/>
      <c r="B43" s="19" t="s">
        <v>15</v>
      </c>
      <c r="C43" s="17"/>
      <c r="D43" s="16"/>
      <c r="E43" s="18"/>
      <c r="F43" s="32"/>
      <c r="G43" s="17"/>
      <c r="H43" s="20"/>
    </row>
    <row r="44" spans="1:8" ht="15">
      <c r="A44" s="15"/>
      <c r="B44" s="19" t="s">
        <v>22</v>
      </c>
      <c r="C44" s="17"/>
      <c r="D44" s="16"/>
      <c r="E44" s="18"/>
      <c r="F44" s="32"/>
      <c r="G44" s="17"/>
      <c r="H44" s="20"/>
    </row>
    <row r="45" spans="1:8" ht="15">
      <c r="A45" s="15"/>
      <c r="B45" s="19" t="s">
        <v>27</v>
      </c>
      <c r="C45" s="21"/>
      <c r="D45" s="21"/>
      <c r="E45" s="22"/>
      <c r="F45" s="21"/>
      <c r="G45" s="21"/>
      <c r="H45" s="23"/>
    </row>
    <row r="46" spans="1:8" ht="15.6" thickBot="1">
      <c r="A46" s="24"/>
      <c r="B46" s="25" t="s">
        <v>31</v>
      </c>
      <c r="C46" s="26"/>
      <c r="D46" s="26"/>
      <c r="E46" s="88" t="s">
        <v>16</v>
      </c>
      <c r="F46" s="88"/>
      <c r="G46" s="88"/>
      <c r="H46" s="89"/>
    </row>
    <row r="47" spans="1:8" ht="18" thickBot="1">
      <c r="A47" s="79" t="s">
        <v>17</v>
      </c>
      <c r="B47" s="80"/>
      <c r="C47" s="80"/>
      <c r="D47" s="80"/>
      <c r="E47" s="80"/>
      <c r="F47" s="80"/>
      <c r="G47" s="80"/>
      <c r="H47" s="81"/>
    </row>
  </sheetData>
  <mergeCells count="8">
    <mergeCell ref="A47:H47"/>
    <mergeCell ref="A1:H1"/>
    <mergeCell ref="A2:H2"/>
    <mergeCell ref="A3:E3"/>
    <mergeCell ref="F3:H3"/>
    <mergeCell ref="E42:H42"/>
    <mergeCell ref="E46:H46"/>
    <mergeCell ref="F41:G41"/>
  </mergeCells>
  <pageMargins left="0.28999999999999998" right="0.22" top="0.22" bottom="0.25" header="0.24" footer="0.2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/>
  <cols>
    <col min="1" max="1" width="56" customWidth="1"/>
  </cols>
  <sheetData>
    <row r="1" spans="1:1" ht="15.6">
      <c r="A1" s="67" t="s">
        <v>29</v>
      </c>
    </row>
    <row r="2" spans="1:1" ht="15.6">
      <c r="A2" s="67" t="s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2025-07-05T12:48:13Z</cp:lastPrinted>
  <dcterms:created xsi:type="dcterms:W3CDTF">2021-03-18T15:08:59Z</dcterms:created>
  <dcterms:modified xsi:type="dcterms:W3CDTF">2025-07-05T12:55:13Z</dcterms:modified>
</cp:coreProperties>
</file>