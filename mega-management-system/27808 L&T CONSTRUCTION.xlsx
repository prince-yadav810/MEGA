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egaenterprise\D\OLD DATA\Mega Quotation - Copy\"/>
    </mc:Choice>
  </mc:AlternateContent>
  <bookViews>
    <workbookView xWindow="-105" yWindow="-105" windowWidth="23250" windowHeight="12450"/>
  </bookViews>
  <sheets>
    <sheet name="Sheet1" sheetId="4" r:id="rId1"/>
    <sheet name="Sheet3" sheetId="9" r:id="rId2"/>
  </sheets>
  <definedNames>
    <definedName name="_xlnm.Print_Area" localSheetId="0">Sheet1!$A$1:$H$32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4" l="1"/>
  <c r="H11" i="4"/>
  <c r="H12" i="4"/>
  <c r="H13" i="4"/>
  <c r="H14" i="4"/>
  <c r="H15" i="4"/>
  <c r="H16" i="4"/>
  <c r="H9" i="4" l="1"/>
  <c r="H8" i="4"/>
  <c r="H25" i="4" l="1"/>
</calcChain>
</file>

<file path=xl/sharedStrings.xml><?xml version="1.0" encoding="utf-8"?>
<sst xmlns="http://schemas.openxmlformats.org/spreadsheetml/2006/main" count="99" uniqueCount="56">
  <si>
    <t>MEGA ENTERPRISE</t>
  </si>
  <si>
    <t>REF NO</t>
  </si>
  <si>
    <t>TO,</t>
  </si>
  <si>
    <t>DATE</t>
  </si>
  <si>
    <t>Sr No</t>
  </si>
  <si>
    <t>DISCRIPTION</t>
  </si>
  <si>
    <t>QTY</t>
  </si>
  <si>
    <t>UNIT</t>
  </si>
  <si>
    <t>RATE</t>
  </si>
  <si>
    <t>PER</t>
  </si>
  <si>
    <t>GST</t>
  </si>
  <si>
    <t>AMOUNT (EXCL GST)</t>
  </si>
  <si>
    <t>TERMS&amp;CONDITION</t>
  </si>
  <si>
    <t>Authorised Signatory.</t>
  </si>
  <si>
    <t>GST NO: 27DRGPD9065L1ZA</t>
  </si>
  <si>
    <t>MOB. NO. 7506070157</t>
  </si>
  <si>
    <t>1ST LEVEL, PLOT NO PAP-57, MIDC WATER TANK, MIDC TALOJA, NAVI MUMBAI -410208</t>
  </si>
  <si>
    <t>Bank Name: IDBI BANK</t>
  </si>
  <si>
    <t>A/c No.: 0047102000009430</t>
  </si>
  <si>
    <t>Branch: MIDC TALOJA</t>
  </si>
  <si>
    <t>IFS Code: IBKL0000047</t>
  </si>
  <si>
    <t xml:space="preserve"> </t>
  </si>
  <si>
    <t>For, Mega Enterprise.</t>
  </si>
  <si>
    <t>QUOTATION</t>
  </si>
  <si>
    <t>GST EXTRA AS APPLICABLE</t>
  </si>
  <si>
    <t>DELIVERY CHARGES EXTRA</t>
  </si>
  <si>
    <t>VALIDITY 1 WEEK</t>
  </si>
  <si>
    <t xml:space="preserve"> TOTAL</t>
  </si>
  <si>
    <t>PVC PIPE 110MM (TYPE B 6 KG PRESSURE)</t>
  </si>
  <si>
    <t>MTR</t>
  </si>
  <si>
    <t>TA-1151</t>
  </si>
  <si>
    <t>PVC TEE 110MM</t>
  </si>
  <si>
    <t>NOS</t>
  </si>
  <si>
    <t>PVC COUPLER 110MM</t>
  </si>
  <si>
    <t>PVC 45° BEND 110MMM</t>
  </si>
  <si>
    <t>PVC END CAP 110MM</t>
  </si>
  <si>
    <t>PVC SOLVENT 500ML</t>
  </si>
  <si>
    <t>PVC PLUG OUTER THREAD 15MM</t>
  </si>
  <si>
    <t>LONG BODY COCK CP</t>
  </si>
  <si>
    <t>TEFLON TAPE</t>
  </si>
  <si>
    <t>GI REDUSER 20MM X 15MM</t>
  </si>
  <si>
    <t>GI COUPLER 20MM</t>
  </si>
  <si>
    <t>L&amp;T CONSTRUCTION</t>
  </si>
  <si>
    <t>PAYMENT IMMEDIATE</t>
  </si>
  <si>
    <t>8" Hose 6 mtr. pcd - id 200 mm , od 300 mm, pcd 250 mm ( with 8 holes for M20 bolts). Flange one end movable &amp; one end Fixed. Pressure in bar - 4 bar</t>
  </si>
  <si>
    <t>8" Hose 3 mtr. pcd - id 200 mm , od 300 mm, pcd 250 mm ( with 8 holes for M20 bolts). Flange one end movable &amp; one end Fixed. Pressure in bar - 4 bar.</t>
  </si>
  <si>
    <t>09.10.2025</t>
  </si>
  <si>
    <t xml:space="preserve">ALMIRAH;MOC:-STEEL;SIZE:-4 FT x 3 FT HEAVY DUTY 18 GAUGE POWDER COATED SIZE 48X36X DEPTH 21 HEAVY DUTY </t>
  </si>
  <si>
    <t>CHAIR; PVC; TYPE :- WITH ARM; MAKE :- NIEL KAMAL; / OR EQUVALENT HEAVY DUTY WITH ARMS</t>
  </si>
  <si>
    <t xml:space="preserve">TEAPOY;MOC:-WOODEN;SIZE:-2.5 FT x 1.5 FT HEAVY DUTY </t>
  </si>
  <si>
    <t>COT; TYPE :- SINGLE.; MOC :- WOODEN; SIZE :- 6.5 FT x 3 FT; HEAVY DUTY</t>
  </si>
  <si>
    <t>DINING TABLE; MOC :- WOODEN; SIZE :- 7 FT x 3 FT; MAKE :- PARCO; 8 SEATER;INCLUDING CHAIRS SET HEAVY DUTY INCLUDING CHAIRS SET</t>
  </si>
  <si>
    <t>MS SLOTTED ANGLE RACK WITH 5 SHELF SIZE :- 1630 MM X 450 MM X 425 MM;</t>
  </si>
  <si>
    <t xml:space="preserve">KITCHEN EQUIPMENT; GAS STOVE; SS TYPE HEAVY DUTY INDUSTRIAL TYPE  3 Burner with Gas Regulator SIZE 1800X 600X750 </t>
  </si>
  <si>
    <t xml:space="preserve">S S SINK STAND AS PER ATTACHED IMAGE HEAVY DUTY STANDARD QUALITY REQURIED. S S 304 SINK BOWL. SIZE :- 66"X24"X34"+30" </t>
  </si>
  <si>
    <t>KITCHEN EQUIPMENT; GAS STOVE; SS TYPE HEAVY DUTY  INDUSTRIAL TYPE Burner with Gas Regulator SIZE 1200X 600X750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</si>
</sst>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 * #,##0.00_ ;_ * \-#,##0.00_ ;_ * &quot;-&quot;??_ ;_ @_ "/>
  </numFmts>
  <fonts count="2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mbria"/>
      <family val="1"/>
      <scheme val="major"/>
    </font>
    <font>
      <b/>
      <sz val="14"/>
      <name val="Cambria"/>
      <family val="1"/>
      <scheme val="major"/>
    </font>
    <font>
      <b/>
      <sz val="9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rgb="FF000000"/>
      <name val="Cambria"/>
      <family val="1"/>
      <scheme val="major"/>
    </font>
    <font>
      <b/>
      <sz val="13"/>
      <name val="Calibri"/>
      <family val="2"/>
      <scheme val="minor"/>
    </font>
    <font>
      <b/>
      <sz val="14"/>
      <name val="Arial Unicode MS"/>
      <family val="2"/>
    </font>
    <font>
      <b/>
      <sz val="57"/>
      <name val="Arial Unicode MS"/>
      <family val="2"/>
    </font>
    <font>
      <b/>
      <sz val="11"/>
      <color theme="1"/>
      <name val="Cambria"/>
      <family val="1"/>
      <scheme val="maj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name val="Verdana"/>
      <family val="2"/>
    </font>
    <font>
      <sz val="9"/>
      <color rgb="FF000000"/>
      <name val="Verdana"/>
      <family val="2"/>
    </font>
    <font>
      <sz val="8"/>
      <color rgb="FF000000"/>
      <name val="Verdana"/>
      <family val="2"/>
    </font>
    <font>
      <sz val="8"/>
      <name val="Verdana"/>
      <family val="2"/>
    </font>
    <font>
      <sz val="12"/>
      <color rgb="FF000000"/>
      <name val="Arial"/>
      <family val="2"/>
    </font>
    <font>
      <sz val="10"/>
      <color theme="1"/>
      <name val="Verdana"/>
      <family val="2"/>
    </font>
    <font>
      <sz val="9"/>
      <color rgb="FF11111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6" fillId="0" borderId="0" applyFont="0" applyFill="0" applyBorder="0" applyAlignment="0" applyProtection="0"/>
  </cellStyleXfs>
  <cellXfs count="103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2" fontId="11" fillId="3" borderId="12" xfId="0" applyNumberFormat="1" applyFont="1" applyFill="1" applyBorder="1" applyAlignment="1">
      <alignment horizontal="center" vertical="center" wrapText="1"/>
    </xf>
    <xf numFmtId="2" fontId="11" fillId="0" borderId="8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2" fontId="11" fillId="0" borderId="15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3" fillId="0" borderId="4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3" fillId="0" borderId="9" xfId="0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15" fillId="0" borderId="5" xfId="0" applyFont="1" applyBorder="1" applyAlignment="1">
      <alignment horizontal="left" vertical="center"/>
    </xf>
    <xf numFmtId="0" fontId="13" fillId="0" borderId="8" xfId="0" applyFont="1" applyBorder="1" applyAlignment="1">
      <alignment vertical="center" wrapText="1"/>
    </xf>
    <xf numFmtId="9" fontId="11" fillId="3" borderId="8" xfId="0" applyNumberFormat="1" applyFont="1" applyFill="1" applyBorder="1" applyAlignment="1">
      <alignment horizontal="center" vertical="center" wrapText="1"/>
    </xf>
    <xf numFmtId="43" fontId="11" fillId="3" borderId="12" xfId="0" applyNumberFormat="1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 wrapText="1"/>
    </xf>
    <xf numFmtId="2" fontId="11" fillId="0" borderId="23" xfId="0" applyNumberFormat="1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9" fontId="11" fillId="3" borderId="23" xfId="0" applyNumberFormat="1" applyFont="1" applyFill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center" vertical="center" wrapText="1"/>
    </xf>
    <xf numFmtId="164" fontId="11" fillId="3" borderId="26" xfId="0" applyNumberFormat="1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9" fontId="13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9" fontId="12" fillId="0" borderId="8" xfId="0" applyNumberFormat="1" applyFont="1" applyBorder="1" applyAlignment="1">
      <alignment horizontal="center" vertical="center" wrapText="1"/>
    </xf>
    <xf numFmtId="0" fontId="13" fillId="0" borderId="25" xfId="0" applyFont="1" applyBorder="1" applyAlignment="1">
      <alignment horizontal="left" vertical="top" wrapText="1"/>
    </xf>
    <xf numFmtId="0" fontId="13" fillId="0" borderId="26" xfId="0" applyFont="1" applyBorder="1" applyAlignment="1">
      <alignment horizontal="left" vertical="top" wrapText="1"/>
    </xf>
    <xf numFmtId="0" fontId="14" fillId="3" borderId="26" xfId="0" applyFont="1" applyFill="1" applyBorder="1" applyAlignment="1">
      <alignment horizontal="left" vertical="top" wrapText="1"/>
    </xf>
    <xf numFmtId="0" fontId="19" fillId="3" borderId="8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9" fontId="18" fillId="0" borderId="8" xfId="0" applyNumberFormat="1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164" fontId="13" fillId="3" borderId="18" xfId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19" fillId="3" borderId="29" xfId="0" applyFont="1" applyFill="1" applyBorder="1" applyAlignment="1">
      <alignment horizontal="center" vertical="center"/>
    </xf>
    <xf numFmtId="0" fontId="19" fillId="3" borderId="23" xfId="0" applyFont="1" applyFill="1" applyBorder="1" applyAlignment="1">
      <alignment vertical="center" wrapText="1"/>
    </xf>
    <xf numFmtId="0" fontId="19" fillId="3" borderId="23" xfId="0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 wrapText="1"/>
    </xf>
    <xf numFmtId="9" fontId="18" fillId="0" borderId="23" xfId="0" applyNumberFormat="1" applyFont="1" applyBorder="1" applyAlignment="1">
      <alignment horizontal="center" vertical="center"/>
    </xf>
    <xf numFmtId="2" fontId="18" fillId="0" borderId="12" xfId="0" applyNumberFormat="1" applyFont="1" applyBorder="1" applyAlignment="1">
      <alignment horizontal="center" vertical="center" wrapText="1"/>
    </xf>
    <xf numFmtId="9" fontId="18" fillId="0" borderId="27" xfId="0" applyNumberFormat="1" applyFont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2" fontId="21" fillId="0" borderId="12" xfId="0" applyNumberFormat="1" applyFont="1" applyBorder="1" applyAlignment="1">
      <alignment horizontal="center" vertical="center" wrapText="1"/>
    </xf>
    <xf numFmtId="9" fontId="21" fillId="0" borderId="8" xfId="0" applyNumberFormat="1" applyFont="1" applyBorder="1" applyAlignment="1">
      <alignment horizontal="center" vertical="center"/>
    </xf>
    <xf numFmtId="0" fontId="19" fillId="3" borderId="8" xfId="0" applyFont="1" applyFill="1" applyBorder="1" applyAlignment="1">
      <alignment vertical="center" wrapText="1"/>
    </xf>
    <xf numFmtId="0" fontId="22" fillId="3" borderId="8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vertical="center"/>
    </xf>
    <xf numFmtId="0" fontId="0" fillId="0" borderId="30" xfId="0" applyBorder="1"/>
    <xf numFmtId="0" fontId="17" fillId="0" borderId="0" xfId="0" applyFont="1" applyAlignment="1">
      <alignment vertical="center"/>
    </xf>
    <xf numFmtId="0" fontId="23" fillId="0" borderId="8" xfId="0" applyFont="1" applyBorder="1" applyAlignment="1">
      <alignment wrapText="1"/>
    </xf>
    <xf numFmtId="0" fontId="24" fillId="0" borderId="8" xfId="0" applyFont="1" applyFill="1" applyBorder="1" applyAlignment="1">
      <alignment horizontal="left" vertical="center" wrapText="1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9" fontId="13" fillId="3" borderId="16" xfId="0" applyNumberFormat="1" applyFont="1" applyFill="1" applyBorder="1" applyAlignment="1">
      <alignment horizontal="center" vertical="center" wrapText="1"/>
    </xf>
    <xf numFmtId="9" fontId="13" fillId="3" borderId="17" xfId="0" applyNumberFormat="1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right" wrapText="1"/>
    </xf>
    <xf numFmtId="0" fontId="13" fillId="0" borderId="3" xfId="0" applyFont="1" applyBorder="1" applyAlignment="1">
      <alignment horizontal="right" wrapText="1"/>
    </xf>
    <xf numFmtId="2" fontId="11" fillId="0" borderId="1" xfId="0" applyNumberFormat="1" applyFont="1" applyBorder="1" applyAlignment="1">
      <alignment horizontal="right" vertical="center" wrapText="1"/>
    </xf>
    <xf numFmtId="2" fontId="11" fillId="0" borderId="6" xfId="0" applyNumberFormat="1" applyFont="1" applyBorder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5" fillId="0" borderId="31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0" fontId="24" fillId="0" borderId="32" xfId="0" applyFont="1" applyFill="1" applyBorder="1" applyAlignment="1">
      <alignment horizontal="left" vertical="center" wrapText="1"/>
    </xf>
    <xf numFmtId="0" fontId="20" fillId="3" borderId="32" xfId="0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 wrapText="1"/>
    </xf>
    <xf numFmtId="9" fontId="21" fillId="0" borderId="32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438509</xdr:colOff>
      <xdr:row>19</xdr:row>
      <xdr:rowOff>0</xdr:rowOff>
    </xdr:from>
    <xdr:to>
      <xdr:col>1</xdr:col>
      <xdr:colOff>1911290</xdr:colOff>
      <xdr:row>26</xdr:row>
      <xdr:rowOff>63571</xdr:rowOff>
    </xdr:to>
    <xdr:sp macro="" textlink="">
      <xdr:nvSpPr>
        <xdr:cNvPr id="2" name="AutoShape 1" descr="https://mail.google.com/mail/u/0?ui=2&amp;ik=014f390daa&amp;attid=0.5&amp;permmsgid=msg-f:1775288436669348769&amp;th=18a3176d6188fba1&amp;view=fimg&amp;fur=ip&amp;sz=s0-l75-ft&amp;attbid=ANGjdJ-XTiLzcu11rl-qrUBTYtXEauOsUfBk2AgQu9UIyuCRwkRDmwCQMJlEdct8TUi-Ac7VnI9jPyFxF_jiOzgLu7Q5BUTi8EN0Ni-Z30a0Ym3FLlgKGuPIob6N-AY&amp;disp=emb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15915" y="2527899"/>
          <a:ext cx="1472781" cy="1385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704850</xdr:colOff>
      <xdr:row>22</xdr:row>
      <xdr:rowOff>34784</xdr:rowOff>
    </xdr:to>
    <xdr:sp macro="" textlink="">
      <xdr:nvSpPr>
        <xdr:cNvPr id="10" name="AutoShape 4" descr="https://mail.google.com/mail/u/0?ui=2&amp;ik=014f390daa&amp;attid=0.13&amp;permmsgid=msg-f:1789684153102645801&amp;th=18d63c414dd43a29&amp;view=fimg&amp;fur=ip&amp;sz=s0-l75-ft&amp;attbid=ANGjdJ9eD6B3aR7OBqMQg7pNxTj1pzSoHGomqKCBl6dxCq-hi3gb9-wTIxt6SNqAEyhc2H4dVlIY8SYJ0nVkrZ4gC-mZ1MwZx8JOcTXZoV9yVmmBKJXPNK-VQd3ooFM&amp;disp=emb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8439150" y="9686925"/>
          <a:ext cx="704850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990600</xdr:colOff>
      <xdr:row>21</xdr:row>
      <xdr:rowOff>149476</xdr:rowOff>
    </xdr:to>
    <xdr:sp macro="" textlink="">
      <xdr:nvSpPr>
        <xdr:cNvPr id="11" name="AutoShape 5" descr="https://mail.google.com/mail/u/0?ui=2&amp;ik=014f390daa&amp;attid=0.14&amp;permmsgid=msg-f:1789684153102645801&amp;th=18d63c414dd43a29&amp;view=fimg&amp;fur=ip&amp;sz=s0-l75-ft&amp;attbid=ANGjdJ9r0rgnwtXMVp7Ax9yzJAIeOQNmMtIU_FUuempx_eXfQyIM9M2BLoNepb5ksWuq5Onelc9OzGse0vKYCEqeEEaS2oLLWssTugWF422OtB0t4CrACWvqvlaoMio&amp;disp=emb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8439150" y="10258425"/>
          <a:ext cx="99060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762000</xdr:colOff>
      <xdr:row>21</xdr:row>
      <xdr:rowOff>149476</xdr:rowOff>
    </xdr:to>
    <xdr:sp macro="" textlink="">
      <xdr:nvSpPr>
        <xdr:cNvPr id="12" name="AutoShape 6" descr="https://mail.google.com/mail/u/0?ui=2&amp;ik=014f390daa&amp;attid=0.15&amp;permmsgid=msg-f:1789684153102645801&amp;th=18d63c414dd43a29&amp;view=fimg&amp;fur=ip&amp;sz=s0-l75-ft&amp;attbid=ANGjdJ988AyqXP_kUq2fgtchCrIF-XrkESEEHlz9AcOBPsUIou9WSblFXkPv4SgsjOfIkuRWRF6w6rJ1qWzPxDzt3Gh3XigWMzjWESp8L9bMUHhlPUQU0Trs2Sg25Dc&amp;disp=emb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8439150" y="10829925"/>
          <a:ext cx="76200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1190312</xdr:colOff>
      <xdr:row>19</xdr:row>
      <xdr:rowOff>0</xdr:rowOff>
    </xdr:from>
    <xdr:to>
      <xdr:col>1</xdr:col>
      <xdr:colOff>1504949</xdr:colOff>
      <xdr:row>20</xdr:row>
      <xdr:rowOff>94726</xdr:rowOff>
    </xdr:to>
    <xdr:sp macro="" textlink="">
      <xdr:nvSpPr>
        <xdr:cNvPr id="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567718" y="2246462"/>
          <a:ext cx="314637" cy="287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1504950</xdr:colOff>
      <xdr:row>19</xdr:row>
      <xdr:rowOff>0</xdr:rowOff>
    </xdr:from>
    <xdr:to>
      <xdr:col>3</xdr:col>
      <xdr:colOff>387881</xdr:colOff>
      <xdr:row>25</xdr:row>
      <xdr:rowOff>157647</xdr:rowOff>
    </xdr:to>
    <xdr:sp macro="" textlink="">
      <xdr:nvSpPr>
        <xdr:cNvPr id="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 flipH="1" flipV="1">
          <a:off x="1882356" y="3917829"/>
          <a:ext cx="1947105" cy="1291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1531906</xdr:colOff>
      <xdr:row>19</xdr:row>
      <xdr:rowOff>0</xdr:rowOff>
    </xdr:from>
    <xdr:to>
      <xdr:col>1</xdr:col>
      <xdr:colOff>2073545</xdr:colOff>
      <xdr:row>22</xdr:row>
      <xdr:rowOff>169425</xdr:rowOff>
    </xdr:to>
    <xdr:sp macro="" textlink="">
      <xdr:nvSpPr>
        <xdr:cNvPr id="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 flipH="1">
          <a:off x="1909312" y="2516037"/>
          <a:ext cx="541639" cy="727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1504950</xdr:colOff>
      <xdr:row>19</xdr:row>
      <xdr:rowOff>0</xdr:rowOff>
    </xdr:from>
    <xdr:to>
      <xdr:col>1</xdr:col>
      <xdr:colOff>1713856</xdr:colOff>
      <xdr:row>19</xdr:row>
      <xdr:rowOff>89859</xdr:rowOff>
    </xdr:to>
    <xdr:sp macro="" textlink="">
      <xdr:nvSpPr>
        <xdr:cNvPr id="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 flipH="1">
          <a:off x="1882356" y="2246462"/>
          <a:ext cx="208906" cy="898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1504950</xdr:colOff>
      <xdr:row>24</xdr:row>
      <xdr:rowOff>187036</xdr:rowOff>
    </xdr:to>
    <xdr:sp macro="" textlink="">
      <xdr:nvSpPr>
        <xdr:cNvPr id="1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1504950</xdr:colOff>
      <xdr:row>19</xdr:row>
      <xdr:rowOff>0</xdr:rowOff>
    </xdr:from>
    <xdr:to>
      <xdr:col>1</xdr:col>
      <xdr:colOff>1896014</xdr:colOff>
      <xdr:row>20</xdr:row>
      <xdr:rowOff>33580</xdr:rowOff>
    </xdr:to>
    <xdr:sp macro="" textlink="">
      <xdr:nvSpPr>
        <xdr:cNvPr id="1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 flipH="1">
          <a:off x="1882356" y="2192548"/>
          <a:ext cx="391064" cy="226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1504950</xdr:colOff>
      <xdr:row>25</xdr:row>
      <xdr:rowOff>28762</xdr:rowOff>
    </xdr:to>
    <xdr:sp macro="" textlink="">
      <xdr:nvSpPr>
        <xdr:cNvPr id="1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1504950</xdr:colOff>
      <xdr:row>24</xdr:row>
      <xdr:rowOff>180747</xdr:rowOff>
    </xdr:to>
    <xdr:sp macro="" textlink="">
      <xdr:nvSpPr>
        <xdr:cNvPr id="1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1504950</xdr:colOff>
      <xdr:row>24</xdr:row>
      <xdr:rowOff>144624</xdr:rowOff>
    </xdr:to>
    <xdr:sp macro="" textlink="">
      <xdr:nvSpPr>
        <xdr:cNvPr id="1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1190312</xdr:colOff>
      <xdr:row>19</xdr:row>
      <xdr:rowOff>0</xdr:rowOff>
    </xdr:from>
    <xdr:ext cx="314637" cy="287547"/>
    <xdr:sp macro="" textlink="">
      <xdr:nvSpPr>
        <xdr:cNvPr id="1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567718" y="2282406"/>
          <a:ext cx="314637" cy="287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1504950</xdr:colOff>
      <xdr:row>19</xdr:row>
      <xdr:rowOff>0</xdr:rowOff>
    </xdr:from>
    <xdr:ext cx="391064" cy="226401"/>
    <xdr:sp macro="" textlink="">
      <xdr:nvSpPr>
        <xdr:cNvPr id="1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 flipH="1">
          <a:off x="1882356" y="2318350"/>
          <a:ext cx="391064" cy="226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19</xdr:row>
      <xdr:rowOff>0</xdr:rowOff>
    </xdr:from>
    <xdr:to>
      <xdr:col>1</xdr:col>
      <xdr:colOff>1504950</xdr:colOff>
      <xdr:row>24</xdr:row>
      <xdr:rowOff>120362</xdr:rowOff>
    </xdr:to>
    <xdr:sp macro="" textlink="">
      <xdr:nvSpPr>
        <xdr:cNvPr id="2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1504950</xdr:colOff>
      <xdr:row>24</xdr:row>
      <xdr:rowOff>72737</xdr:rowOff>
    </xdr:to>
    <xdr:sp macro="" textlink="">
      <xdr:nvSpPr>
        <xdr:cNvPr id="2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1504950</xdr:colOff>
      <xdr:row>25</xdr:row>
      <xdr:rowOff>54765</xdr:rowOff>
    </xdr:to>
    <xdr:sp macro="" textlink="">
      <xdr:nvSpPr>
        <xdr:cNvPr id="22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835683</xdr:colOff>
      <xdr:row>19</xdr:row>
      <xdr:rowOff>0</xdr:rowOff>
    </xdr:from>
    <xdr:to>
      <xdr:col>1</xdr:col>
      <xdr:colOff>2337039</xdr:colOff>
      <xdr:row>23</xdr:row>
      <xdr:rowOff>149476</xdr:rowOff>
    </xdr:to>
    <xdr:sp macro="" textlink="">
      <xdr:nvSpPr>
        <xdr:cNvPr id="2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213089" y="1958915"/>
          <a:ext cx="1501356" cy="896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826699</xdr:colOff>
      <xdr:row>7</xdr:row>
      <xdr:rowOff>0</xdr:rowOff>
    </xdr:from>
    <xdr:to>
      <xdr:col>10</xdr:col>
      <xdr:colOff>153479</xdr:colOff>
      <xdr:row>8</xdr:row>
      <xdr:rowOff>410767</xdr:rowOff>
    </xdr:to>
    <xdr:sp macro="" textlink="">
      <xdr:nvSpPr>
        <xdr:cNvPr id="2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6946062" y="2273419"/>
          <a:ext cx="1501356" cy="1165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458277</xdr:colOff>
      <xdr:row>19</xdr:row>
      <xdr:rowOff>0</xdr:rowOff>
    </xdr:from>
    <xdr:ext cx="718868" cy="314505"/>
    <xdr:sp macro="" textlink="">
      <xdr:nvSpPr>
        <xdr:cNvPr id="2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835683" y="3998702"/>
          <a:ext cx="718868" cy="3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602053</xdr:colOff>
      <xdr:row>19</xdr:row>
      <xdr:rowOff>0</xdr:rowOff>
    </xdr:from>
    <xdr:ext cx="718868" cy="314505"/>
    <xdr:sp macro="" textlink="">
      <xdr:nvSpPr>
        <xdr:cNvPr id="2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4501911" y="3936699"/>
          <a:ext cx="718868" cy="3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1284976</xdr:colOff>
      <xdr:row>19</xdr:row>
      <xdr:rowOff>0</xdr:rowOff>
    </xdr:from>
    <xdr:ext cx="718868" cy="314505"/>
    <xdr:sp macro="" textlink="">
      <xdr:nvSpPr>
        <xdr:cNvPr id="3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1662382" y="4368559"/>
          <a:ext cx="718868" cy="3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718868" cy="314505"/>
    <xdr:sp macro="" textlink="">
      <xdr:nvSpPr>
        <xdr:cNvPr id="3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0" y="2857499"/>
          <a:ext cx="718868" cy="3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19</xdr:row>
      <xdr:rowOff>0</xdr:rowOff>
    </xdr:from>
    <xdr:ext cx="1501356" cy="1165645"/>
    <xdr:sp macro="" textlink="">
      <xdr:nvSpPr>
        <xdr:cNvPr id="3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7584029" y="3064173"/>
          <a:ext cx="1501356" cy="1165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718868" cy="314505"/>
    <xdr:sp macro="" textlink="">
      <xdr:nvSpPr>
        <xdr:cNvPr id="3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0" y="2857499"/>
          <a:ext cx="718868" cy="3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1501356" cy="1165645"/>
    <xdr:sp macro="" textlink="">
      <xdr:nvSpPr>
        <xdr:cNvPr id="3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590495"/>
          <a:ext cx="1501356" cy="1165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185733</xdr:colOff>
      <xdr:row>16</xdr:row>
      <xdr:rowOff>0</xdr:rowOff>
    </xdr:from>
    <xdr:ext cx="722462" cy="316303"/>
    <xdr:sp macro="" textlink="">
      <xdr:nvSpPr>
        <xdr:cNvPr id="40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185733" y="2949505"/>
          <a:ext cx="722462" cy="316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topLeftCell="A13" zoomScale="110" zoomScaleNormal="110" workbookViewId="0">
      <selection activeCell="B16" sqref="B16"/>
    </sheetView>
  </sheetViews>
  <sheetFormatPr defaultRowHeight="15" x14ac:dyDescent="0.25"/>
  <cols>
    <col min="1" max="1" width="5.7109375" customWidth="1"/>
    <col min="2" max="2" width="38.42578125" customWidth="1"/>
    <col min="3" max="3" width="7.5703125" bestFit="1" customWidth="1"/>
    <col min="4" max="4" width="6.85546875" customWidth="1"/>
    <col min="5" max="5" width="11" customWidth="1"/>
    <col min="6" max="6" width="6.42578125" customWidth="1"/>
    <col min="7" max="7" width="6.5703125" bestFit="1" customWidth="1"/>
    <col min="8" max="8" width="14.28515625" bestFit="1" customWidth="1"/>
  </cols>
  <sheetData>
    <row r="1" spans="1:8" ht="15" customHeight="1" x14ac:dyDescent="0.25">
      <c r="A1" s="90" t="s">
        <v>23</v>
      </c>
      <c r="B1" s="90"/>
      <c r="C1" s="90"/>
      <c r="D1" s="90"/>
      <c r="E1" s="90"/>
      <c r="F1" s="90"/>
      <c r="G1" s="90"/>
      <c r="H1" s="90"/>
    </row>
    <row r="2" spans="1:8" ht="46.5" customHeight="1" x14ac:dyDescent="0.25">
      <c r="A2" s="91" t="s">
        <v>0</v>
      </c>
      <c r="B2" s="91"/>
      <c r="C2" s="91"/>
      <c r="D2" s="91"/>
      <c r="E2" s="91"/>
      <c r="F2" s="91"/>
      <c r="G2" s="91"/>
      <c r="H2" s="91"/>
    </row>
    <row r="3" spans="1:8" ht="15.75" thickBot="1" x14ac:dyDescent="0.3">
      <c r="A3" s="92" t="s">
        <v>16</v>
      </c>
      <c r="B3" s="92"/>
      <c r="C3" s="92"/>
      <c r="D3" s="92"/>
      <c r="E3" s="92"/>
      <c r="F3" s="93" t="s">
        <v>15</v>
      </c>
      <c r="G3" s="93"/>
      <c r="H3" s="93"/>
    </row>
    <row r="4" spans="1:8" x14ac:dyDescent="0.25">
      <c r="A4" s="11"/>
      <c r="B4" s="12"/>
      <c r="C4" s="13" t="s">
        <v>1</v>
      </c>
      <c r="D4" s="13"/>
      <c r="E4" s="14">
        <v>27808</v>
      </c>
      <c r="F4" s="13"/>
      <c r="G4" s="13"/>
      <c r="H4" s="12"/>
    </row>
    <row r="5" spans="1:8" ht="18" x14ac:dyDescent="0.25">
      <c r="A5" s="2" t="s">
        <v>2</v>
      </c>
      <c r="B5" s="78" t="s">
        <v>42</v>
      </c>
      <c r="C5" s="10" t="s">
        <v>3</v>
      </c>
      <c r="D5" s="3"/>
      <c r="E5" s="4" t="s">
        <v>46</v>
      </c>
      <c r="F5" s="3"/>
      <c r="G5" s="3"/>
      <c r="H5" s="1"/>
    </row>
    <row r="6" spans="1:8" ht="15.75" thickBot="1" x14ac:dyDescent="0.3">
      <c r="A6" s="5"/>
      <c r="B6" s="63"/>
      <c r="C6" s="6"/>
      <c r="D6" s="6"/>
      <c r="E6" s="7"/>
      <c r="F6" s="8"/>
      <c r="G6" s="8"/>
      <c r="H6" s="9"/>
    </row>
    <row r="7" spans="1:8" ht="29.25" thickBot="1" x14ac:dyDescent="0.3">
      <c r="A7" s="94" t="s">
        <v>4</v>
      </c>
      <c r="B7" s="95" t="s">
        <v>5</v>
      </c>
      <c r="C7" s="96" t="s">
        <v>6</v>
      </c>
      <c r="D7" s="96" t="s">
        <v>7</v>
      </c>
      <c r="E7" s="94" t="s">
        <v>8</v>
      </c>
      <c r="F7" s="97" t="s">
        <v>9</v>
      </c>
      <c r="G7" s="96" t="s">
        <v>10</v>
      </c>
      <c r="H7" s="61" t="s">
        <v>11</v>
      </c>
    </row>
    <row r="8" spans="1:8" ht="48" customHeight="1" x14ac:dyDescent="0.25">
      <c r="A8" s="58">
        <v>1</v>
      </c>
      <c r="B8" s="99" t="s">
        <v>47</v>
      </c>
      <c r="C8" s="100">
        <v>24</v>
      </c>
      <c r="D8" s="100" t="s">
        <v>32</v>
      </c>
      <c r="E8" s="101">
        <v>12600</v>
      </c>
      <c r="F8" s="100" t="s">
        <v>32</v>
      </c>
      <c r="G8" s="102">
        <v>0.18</v>
      </c>
      <c r="H8" s="72">
        <f>E8*C8</f>
        <v>302400</v>
      </c>
    </row>
    <row r="9" spans="1:8" ht="47.25" customHeight="1" x14ac:dyDescent="0.25">
      <c r="A9" s="58">
        <v>2</v>
      </c>
      <c r="B9" s="80" t="s">
        <v>48</v>
      </c>
      <c r="C9" s="58">
        <v>30</v>
      </c>
      <c r="D9" s="71" t="s">
        <v>32</v>
      </c>
      <c r="E9" s="98">
        <v>1068</v>
      </c>
      <c r="F9" s="71" t="s">
        <v>32</v>
      </c>
      <c r="G9" s="73">
        <v>0.18</v>
      </c>
      <c r="H9" s="72">
        <f>E9*C9</f>
        <v>32040</v>
      </c>
    </row>
    <row r="10" spans="1:8" ht="26.25" customHeight="1" x14ac:dyDescent="0.25">
      <c r="A10" s="58">
        <v>3</v>
      </c>
      <c r="B10" s="80" t="s">
        <v>49</v>
      </c>
      <c r="C10" s="58">
        <v>24</v>
      </c>
      <c r="D10" s="71" t="s">
        <v>32</v>
      </c>
      <c r="E10" s="98">
        <v>3220</v>
      </c>
      <c r="F10" s="71" t="s">
        <v>32</v>
      </c>
      <c r="G10" s="73">
        <v>0.18</v>
      </c>
      <c r="H10" s="72">
        <f t="shared" ref="H10:H16" si="0">E10*C10</f>
        <v>77280</v>
      </c>
    </row>
    <row r="11" spans="1:8" ht="30" customHeight="1" x14ac:dyDescent="0.25">
      <c r="A11" s="58">
        <v>4</v>
      </c>
      <c r="B11" s="80" t="s">
        <v>50</v>
      </c>
      <c r="C11" s="58">
        <v>10</v>
      </c>
      <c r="D11" s="71" t="s">
        <v>32</v>
      </c>
      <c r="E11" s="98">
        <v>5880</v>
      </c>
      <c r="F11" s="71" t="s">
        <v>32</v>
      </c>
      <c r="G11" s="73">
        <v>0.18</v>
      </c>
      <c r="H11" s="72">
        <f t="shared" si="0"/>
        <v>58800</v>
      </c>
    </row>
    <row r="12" spans="1:8" ht="51" customHeight="1" x14ac:dyDescent="0.25">
      <c r="A12" s="58">
        <v>5</v>
      </c>
      <c r="B12" s="80" t="s">
        <v>51</v>
      </c>
      <c r="C12" s="58">
        <v>1</v>
      </c>
      <c r="D12" s="71" t="s">
        <v>32</v>
      </c>
      <c r="E12" s="98">
        <v>53200</v>
      </c>
      <c r="F12" s="71" t="s">
        <v>32</v>
      </c>
      <c r="G12" s="73">
        <v>0.18</v>
      </c>
      <c r="H12" s="72">
        <f t="shared" si="0"/>
        <v>53200</v>
      </c>
    </row>
    <row r="13" spans="1:8" ht="31.5" customHeight="1" x14ac:dyDescent="0.25">
      <c r="A13" s="58">
        <v>6</v>
      </c>
      <c r="B13" s="80" t="s">
        <v>52</v>
      </c>
      <c r="C13" s="58">
        <v>4</v>
      </c>
      <c r="D13" s="71" t="s">
        <v>32</v>
      </c>
      <c r="E13" s="98">
        <v>3780</v>
      </c>
      <c r="F13" s="71" t="s">
        <v>32</v>
      </c>
      <c r="G13" s="73">
        <v>0.18</v>
      </c>
      <c r="H13" s="72">
        <f t="shared" si="0"/>
        <v>15120</v>
      </c>
    </row>
    <row r="14" spans="1:8" ht="45" x14ac:dyDescent="0.25">
      <c r="A14" s="58">
        <v>7</v>
      </c>
      <c r="B14" s="80" t="s">
        <v>55</v>
      </c>
      <c r="C14" s="58">
        <v>1</v>
      </c>
      <c r="D14" s="71" t="s">
        <v>32</v>
      </c>
      <c r="E14" s="98">
        <v>21000</v>
      </c>
      <c r="F14" s="71" t="s">
        <v>32</v>
      </c>
      <c r="G14" s="73">
        <v>0.18</v>
      </c>
      <c r="H14" s="72">
        <f t="shared" si="0"/>
        <v>21000</v>
      </c>
    </row>
    <row r="15" spans="1:8" ht="49.5" customHeight="1" x14ac:dyDescent="0.25">
      <c r="A15" s="58">
        <v>8</v>
      </c>
      <c r="B15" s="80" t="s">
        <v>53</v>
      </c>
      <c r="C15" s="58">
        <v>3</v>
      </c>
      <c r="D15" s="71" t="s">
        <v>32</v>
      </c>
      <c r="E15" s="98">
        <v>42000</v>
      </c>
      <c r="F15" s="71" t="s">
        <v>32</v>
      </c>
      <c r="G15" s="73">
        <v>0.18</v>
      </c>
      <c r="H15" s="72">
        <f t="shared" si="0"/>
        <v>126000</v>
      </c>
    </row>
    <row r="16" spans="1:8" ht="53.25" customHeight="1" x14ac:dyDescent="0.25">
      <c r="A16" s="58">
        <v>9</v>
      </c>
      <c r="B16" s="80" t="s">
        <v>54</v>
      </c>
      <c r="C16" s="58">
        <v>1</v>
      </c>
      <c r="D16" s="71" t="s">
        <v>32</v>
      </c>
      <c r="E16" s="98">
        <v>42000</v>
      </c>
      <c r="F16" s="71" t="s">
        <v>32</v>
      </c>
      <c r="G16" s="73">
        <v>0.18</v>
      </c>
      <c r="H16" s="72">
        <f t="shared" si="0"/>
        <v>42000</v>
      </c>
    </row>
    <row r="17" spans="1:8" x14ac:dyDescent="0.25">
      <c r="A17" s="64"/>
      <c r="B17" s="65"/>
      <c r="C17" s="66"/>
      <c r="D17" s="58"/>
      <c r="E17" s="67"/>
      <c r="F17" s="58"/>
      <c r="G17" s="60"/>
      <c r="H17" s="69"/>
    </row>
    <row r="18" spans="1:8" x14ac:dyDescent="0.25">
      <c r="A18" s="64"/>
      <c r="B18" s="65"/>
      <c r="C18" s="66"/>
      <c r="D18" s="58"/>
      <c r="E18" s="67"/>
      <c r="F18" s="58"/>
      <c r="G18" s="60"/>
      <c r="H18" s="69"/>
    </row>
    <row r="19" spans="1:8" x14ac:dyDescent="0.25">
      <c r="A19" s="64"/>
      <c r="B19" s="65"/>
      <c r="C19" s="66"/>
      <c r="D19" s="66"/>
      <c r="E19" s="67"/>
      <c r="F19" s="66"/>
      <c r="G19" s="68"/>
      <c r="H19" s="70"/>
    </row>
    <row r="20" spans="1:8" ht="15.75" thickBot="1" x14ac:dyDescent="0.3">
      <c r="A20" s="21"/>
      <c r="B20" s="50"/>
      <c r="C20" s="43"/>
      <c r="D20" s="43"/>
      <c r="E20" s="45"/>
      <c r="F20" s="46"/>
      <c r="G20" s="47"/>
      <c r="H20" s="48"/>
    </row>
    <row r="21" spans="1:8" x14ac:dyDescent="0.25">
      <c r="A21" s="18"/>
      <c r="B21" s="55" t="s">
        <v>0</v>
      </c>
      <c r="C21" s="44"/>
      <c r="D21" s="17"/>
      <c r="E21" s="16"/>
      <c r="F21" s="17"/>
      <c r="G21" s="37"/>
      <c r="H21" s="49"/>
    </row>
    <row r="22" spans="1:8" x14ac:dyDescent="0.25">
      <c r="A22" s="18"/>
      <c r="B22" s="56" t="s">
        <v>17</v>
      </c>
      <c r="C22" s="19"/>
      <c r="D22" s="19"/>
      <c r="E22" s="16"/>
      <c r="F22" s="51"/>
      <c r="G22" s="52"/>
      <c r="H22" s="38"/>
    </row>
    <row r="23" spans="1:8" x14ac:dyDescent="0.25">
      <c r="A23" s="18"/>
      <c r="B23" s="57" t="s">
        <v>18</v>
      </c>
      <c r="C23" s="39"/>
      <c r="D23" s="20"/>
      <c r="E23" s="16"/>
      <c r="F23" s="53"/>
      <c r="G23" s="54"/>
      <c r="H23" s="38"/>
    </row>
    <row r="24" spans="1:8" x14ac:dyDescent="0.25">
      <c r="A24" s="18"/>
      <c r="B24" s="41" t="s">
        <v>19</v>
      </c>
      <c r="C24" s="39"/>
      <c r="D24" s="17"/>
      <c r="E24" s="16"/>
      <c r="F24" s="36" t="s">
        <v>21</v>
      </c>
      <c r="G24" s="36"/>
      <c r="H24" s="15" t="s">
        <v>21</v>
      </c>
    </row>
    <row r="25" spans="1:8" ht="15.75" thickBot="1" x14ac:dyDescent="0.3">
      <c r="A25" s="21"/>
      <c r="B25" s="42" t="s">
        <v>20</v>
      </c>
      <c r="C25" s="40"/>
      <c r="D25" s="22"/>
      <c r="E25" s="23"/>
      <c r="F25" s="84" t="s">
        <v>27</v>
      </c>
      <c r="G25" s="85"/>
      <c r="H25" s="62">
        <f>SUM(H8:H24)</f>
        <v>727840</v>
      </c>
    </row>
    <row r="26" spans="1:8" x14ac:dyDescent="0.25">
      <c r="A26" s="30"/>
      <c r="B26" s="32" t="s">
        <v>12</v>
      </c>
      <c r="C26" s="33"/>
      <c r="D26" s="34"/>
      <c r="E26" s="86" t="s">
        <v>22</v>
      </c>
      <c r="F26" s="86"/>
      <c r="G26" s="86"/>
      <c r="H26" s="87"/>
    </row>
    <row r="27" spans="1:8" x14ac:dyDescent="0.25">
      <c r="A27" s="30"/>
      <c r="B27" s="59" t="s">
        <v>24</v>
      </c>
      <c r="C27" s="25"/>
      <c r="D27" s="24"/>
      <c r="E27" s="26"/>
      <c r="F27" s="27"/>
      <c r="G27" s="25"/>
      <c r="H27" s="28"/>
    </row>
    <row r="28" spans="1:8" ht="15.75" customHeight="1" x14ac:dyDescent="0.25">
      <c r="A28" s="30"/>
      <c r="B28" s="59" t="s">
        <v>25</v>
      </c>
      <c r="C28" s="25"/>
      <c r="D28" s="24"/>
      <c r="E28" s="26"/>
      <c r="F28" s="27"/>
      <c r="G28" s="25"/>
      <c r="H28" s="28"/>
    </row>
    <row r="29" spans="1:8" ht="15.75" customHeight="1" x14ac:dyDescent="0.25">
      <c r="A29" s="30"/>
      <c r="B29" s="59" t="s">
        <v>43</v>
      </c>
      <c r="C29" s="25"/>
      <c r="D29" s="24"/>
      <c r="E29" s="26"/>
      <c r="F29" s="27"/>
      <c r="G29" s="25"/>
      <c r="H29" s="28"/>
    </row>
    <row r="30" spans="1:8" x14ac:dyDescent="0.25">
      <c r="A30" s="30"/>
      <c r="B30" s="59" t="s">
        <v>26</v>
      </c>
      <c r="C30" s="25"/>
      <c r="D30" s="24"/>
      <c r="E30" s="26"/>
      <c r="F30" s="27"/>
      <c r="G30" s="25"/>
      <c r="H30" s="28"/>
    </row>
    <row r="31" spans="1:8" ht="15.75" customHeight="1" thickBot="1" x14ac:dyDescent="0.3">
      <c r="A31" s="31"/>
      <c r="B31" s="35"/>
      <c r="C31" s="29"/>
      <c r="D31" s="29"/>
      <c r="E31" s="88" t="s">
        <v>13</v>
      </c>
      <c r="F31" s="88"/>
      <c r="G31" s="88"/>
      <c r="H31" s="89"/>
    </row>
    <row r="32" spans="1:8" ht="15.75" customHeight="1" thickBot="1" x14ac:dyDescent="0.35">
      <c r="A32" s="81" t="s">
        <v>14</v>
      </c>
      <c r="B32" s="82"/>
      <c r="C32" s="82"/>
      <c r="D32" s="82"/>
      <c r="E32" s="82"/>
      <c r="F32" s="82"/>
      <c r="G32" s="82"/>
      <c r="H32" s="83"/>
    </row>
  </sheetData>
  <mergeCells count="8">
    <mergeCell ref="A32:H32"/>
    <mergeCell ref="F25:G25"/>
    <mergeCell ref="E26:H26"/>
    <mergeCell ref="E31:H31"/>
    <mergeCell ref="A1:H1"/>
    <mergeCell ref="A2:H2"/>
    <mergeCell ref="A3:E3"/>
    <mergeCell ref="F3:H3"/>
  </mergeCells>
  <pageMargins left="0.28000000000000003" right="0.3" top="0.23622047244094499" bottom="0.23622047244094499" header="0.23622047244094499" footer="0.23622047244094499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B13" sqref="B13"/>
    </sheetView>
  </sheetViews>
  <sheetFormatPr defaultRowHeight="15" x14ac:dyDescent="0.25"/>
  <cols>
    <col min="2" max="2" width="54.85546875" customWidth="1"/>
  </cols>
  <sheetData>
    <row r="1" spans="1:8" x14ac:dyDescent="0.25">
      <c r="A1" s="75">
        <v>1</v>
      </c>
      <c r="B1" s="74" t="s">
        <v>28</v>
      </c>
      <c r="C1" s="58" t="s">
        <v>29</v>
      </c>
      <c r="D1" s="58">
        <v>21</v>
      </c>
      <c r="E1" s="76"/>
      <c r="F1" s="76"/>
      <c r="G1" s="76"/>
      <c r="H1" s="75" t="s">
        <v>30</v>
      </c>
    </row>
    <row r="2" spans="1:8" x14ac:dyDescent="0.25">
      <c r="A2" s="75">
        <v>2</v>
      </c>
      <c r="B2" s="74" t="s">
        <v>31</v>
      </c>
      <c r="C2" s="58" t="s">
        <v>32</v>
      </c>
      <c r="D2" s="58">
        <v>20</v>
      </c>
      <c r="E2" s="76"/>
      <c r="F2" s="76"/>
      <c r="G2" s="76"/>
      <c r="H2" s="75" t="s">
        <v>30</v>
      </c>
    </row>
    <row r="3" spans="1:8" x14ac:dyDescent="0.25">
      <c r="A3" s="75">
        <v>3</v>
      </c>
      <c r="B3" s="74" t="s">
        <v>33</v>
      </c>
      <c r="C3" s="58" t="s">
        <v>32</v>
      </c>
      <c r="D3" s="58">
        <v>12</v>
      </c>
      <c r="E3" s="76"/>
      <c r="F3" s="76"/>
      <c r="G3" s="76"/>
      <c r="H3" s="75" t="s">
        <v>30</v>
      </c>
    </row>
    <row r="4" spans="1:8" x14ac:dyDescent="0.25">
      <c r="A4" s="75">
        <v>4</v>
      </c>
      <c r="B4" s="74" t="s">
        <v>34</v>
      </c>
      <c r="C4" s="58" t="s">
        <v>32</v>
      </c>
      <c r="D4" s="58">
        <v>6</v>
      </c>
      <c r="E4" s="76"/>
      <c r="F4" s="76"/>
      <c r="G4" s="76"/>
      <c r="H4" s="75" t="s">
        <v>30</v>
      </c>
    </row>
    <row r="5" spans="1:8" x14ac:dyDescent="0.25">
      <c r="A5" s="75">
        <v>5</v>
      </c>
      <c r="B5" s="74" t="s">
        <v>35</v>
      </c>
      <c r="C5" s="58" t="s">
        <v>32</v>
      </c>
      <c r="D5" s="58">
        <v>1</v>
      </c>
      <c r="E5" s="76"/>
      <c r="F5" s="76"/>
      <c r="G5" s="76"/>
      <c r="H5" s="75" t="s">
        <v>30</v>
      </c>
    </row>
    <row r="6" spans="1:8" x14ac:dyDescent="0.25">
      <c r="A6" s="75">
        <v>6</v>
      </c>
      <c r="B6" s="74" t="s">
        <v>36</v>
      </c>
      <c r="C6" s="58" t="s">
        <v>32</v>
      </c>
      <c r="D6" s="58">
        <v>1</v>
      </c>
      <c r="E6" s="76"/>
      <c r="F6" s="76"/>
      <c r="G6" s="76"/>
      <c r="H6" s="75" t="s">
        <v>30</v>
      </c>
    </row>
    <row r="7" spans="1:8" x14ac:dyDescent="0.25">
      <c r="A7" s="75">
        <v>7</v>
      </c>
      <c r="B7" s="74" t="s">
        <v>37</v>
      </c>
      <c r="C7" s="58" t="s">
        <v>32</v>
      </c>
      <c r="D7" s="58">
        <v>12</v>
      </c>
      <c r="E7" s="76"/>
      <c r="F7" s="76"/>
      <c r="G7" s="76"/>
      <c r="H7" s="75" t="s">
        <v>30</v>
      </c>
    </row>
    <row r="8" spans="1:8" x14ac:dyDescent="0.25">
      <c r="A8" s="75">
        <v>8</v>
      </c>
      <c r="B8" s="74" t="s">
        <v>38</v>
      </c>
      <c r="C8" s="58" t="s">
        <v>32</v>
      </c>
      <c r="D8" s="58">
        <v>20</v>
      </c>
      <c r="E8" s="76"/>
      <c r="F8" s="76"/>
      <c r="G8" s="76"/>
      <c r="H8" s="75" t="s">
        <v>30</v>
      </c>
    </row>
    <row r="9" spans="1:8" x14ac:dyDescent="0.25">
      <c r="A9" s="75">
        <v>9</v>
      </c>
      <c r="B9" s="74" t="s">
        <v>39</v>
      </c>
      <c r="C9" s="58" t="s">
        <v>32</v>
      </c>
      <c r="D9" s="58">
        <v>36</v>
      </c>
      <c r="E9" s="76"/>
      <c r="F9" s="76"/>
      <c r="G9" s="76"/>
      <c r="H9" s="75" t="s">
        <v>30</v>
      </c>
    </row>
    <row r="10" spans="1:8" x14ac:dyDescent="0.25">
      <c r="A10" s="75">
        <v>10</v>
      </c>
      <c r="B10" s="74" t="s">
        <v>40</v>
      </c>
      <c r="C10" s="58" t="s">
        <v>32</v>
      </c>
      <c r="D10" s="58">
        <v>2</v>
      </c>
      <c r="E10" s="76"/>
      <c r="F10" s="76"/>
      <c r="G10" s="76"/>
      <c r="H10" s="75" t="s">
        <v>30</v>
      </c>
    </row>
    <row r="11" spans="1:8" x14ac:dyDescent="0.25">
      <c r="A11" s="75">
        <v>11</v>
      </c>
      <c r="B11" s="74" t="s">
        <v>41</v>
      </c>
      <c r="C11" s="58" t="s">
        <v>32</v>
      </c>
      <c r="D11" s="58">
        <v>2</v>
      </c>
      <c r="E11" s="76"/>
      <c r="F11" s="76"/>
      <c r="G11" s="76"/>
      <c r="H11" s="75" t="s">
        <v>30</v>
      </c>
    </row>
    <row r="12" spans="1:8" ht="39" x14ac:dyDescent="0.25">
      <c r="A12" s="75">
        <v>12</v>
      </c>
      <c r="B12" s="79" t="s">
        <v>44</v>
      </c>
      <c r="C12" s="58" t="s">
        <v>32</v>
      </c>
      <c r="D12" s="58">
        <v>4</v>
      </c>
      <c r="E12" s="76"/>
      <c r="F12" s="76"/>
      <c r="G12" s="76"/>
      <c r="H12" s="75" t="s">
        <v>30</v>
      </c>
    </row>
    <row r="13" spans="1:8" ht="39" x14ac:dyDescent="0.25">
      <c r="A13" s="75">
        <v>12</v>
      </c>
      <c r="B13" s="79" t="s">
        <v>45</v>
      </c>
      <c r="C13" s="58" t="s">
        <v>32</v>
      </c>
      <c r="D13" s="58">
        <v>4</v>
      </c>
      <c r="E13" s="76"/>
      <c r="F13" s="76"/>
      <c r="G13" s="76"/>
      <c r="H13" s="75" t="s">
        <v>30</v>
      </c>
    </row>
    <row r="15" spans="1:8" x14ac:dyDescent="0.25">
      <c r="E15" s="77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</dc:creator>
  <cp:lastModifiedBy>Dell</cp:lastModifiedBy>
  <cp:lastPrinted>2025-10-09T13:38:04Z</cp:lastPrinted>
  <dcterms:created xsi:type="dcterms:W3CDTF">2021-03-18T15:08:59Z</dcterms:created>
  <dcterms:modified xsi:type="dcterms:W3CDTF">2025-10-09T13:38:20Z</dcterms:modified>
</cp:coreProperties>
</file>