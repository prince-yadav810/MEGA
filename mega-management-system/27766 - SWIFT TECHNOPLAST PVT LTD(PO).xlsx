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LD DATA\Mega Quotation - Copy\"/>
    </mc:Choice>
  </mc:AlternateContent>
  <xr:revisionPtr revIDLastSave="0" documentId="13_ncr:1_{DEFF5758-CEA3-4FD3-B26A-39CB58282BDF}" xr6:coauthVersionLast="47" xr6:coauthVersionMax="47" xr10:uidLastSave="{00000000-0000-0000-0000-000000000000}"/>
  <bookViews>
    <workbookView xWindow="1440" yWindow="1140" windowWidth="21600" windowHeight="11100" xr2:uid="{00000000-000D-0000-FFFF-FFFF00000000}"/>
  </bookViews>
  <sheets>
    <sheet name="Sheet1" sheetId="4" r:id="rId1"/>
  </sheets>
  <definedNames>
    <definedName name="_xlnm.Print_Area" localSheetId="0">Sheet1!$A$1:$H$45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4" l="1"/>
  <c r="H36" i="4" s="1"/>
  <c r="H37" i="4" l="1"/>
  <c r="H38" i="4" s="1"/>
  <c r="H40" i="4" l="1"/>
</calcChain>
</file>

<file path=xl/sharedStrings.xml><?xml version="1.0" encoding="utf-8"?>
<sst xmlns="http://schemas.openxmlformats.org/spreadsheetml/2006/main" count="36" uniqueCount="34">
  <si>
    <t>MEGA ENTERPRISE</t>
  </si>
  <si>
    <t>TO,</t>
  </si>
  <si>
    <t>DATE</t>
  </si>
  <si>
    <t>Sr No</t>
  </si>
  <si>
    <t>DISCRIPTION</t>
  </si>
  <si>
    <t>QTY</t>
  </si>
  <si>
    <t>UNIT</t>
  </si>
  <si>
    <t>RATE</t>
  </si>
  <si>
    <t>PER</t>
  </si>
  <si>
    <t>GST</t>
  </si>
  <si>
    <t>AMOUNT (EXCL GST)</t>
  </si>
  <si>
    <t>TERMS&amp;CONDITION</t>
  </si>
  <si>
    <t>Authorised Signatory.</t>
  </si>
  <si>
    <t>GST NO: 27DRGPD9065L1ZA</t>
  </si>
  <si>
    <t>MOB. NO. 7506070157</t>
  </si>
  <si>
    <t>1ST LEVEL, PLOT NO PAP-57, MIDC WATER TANK, MIDC TALOJA, NAVI MUMBAI -410208</t>
  </si>
  <si>
    <t xml:space="preserve"> </t>
  </si>
  <si>
    <t>For, Mega Enterprise.</t>
  </si>
  <si>
    <t>TOTAL</t>
  </si>
  <si>
    <t>PURCHASE ORDER</t>
  </si>
  <si>
    <t>PO NO.</t>
  </si>
  <si>
    <t>Delivery Urgent Basis</t>
  </si>
  <si>
    <t>CGST</t>
  </si>
  <si>
    <t>SGST</t>
  </si>
  <si>
    <t>NET TOTAL</t>
  </si>
  <si>
    <t>NOS</t>
  </si>
  <si>
    <t>Loading in your scope</t>
  </si>
  <si>
    <t>DELIVERY ADDRESS:- RITHWIK PROJECTS PVT LTD, KALYAN RING ROAD PROJECTS, OPP.RAJ VAIBHAV NX, RAJU NAGAR, DOMBIVLI (W), MUMBAI - 421202</t>
  </si>
  <si>
    <t xml:space="preserve">Delivery charges in your scope </t>
  </si>
  <si>
    <t>SWIFT TECHNOPLAST PVT LTD</t>
  </si>
  <si>
    <t>Cont. No. 7039671016</t>
  </si>
  <si>
    <t>NOTE: RED - 100, YELLOW - 100</t>
  </si>
  <si>
    <t>"SWIFT" 2 MTR SUPER DELUX HEAVY DUTY ROAD SAFETY BARRICADES, SIZE: L2000 X W550 X H1000MM (RSB-2M)(2025)</t>
  </si>
  <si>
    <t>30.07.2025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</si>
</sst>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9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name val="Cambria"/>
      <family val="1"/>
      <scheme val="major"/>
    </font>
    <font>
      <b/>
      <sz val="14"/>
      <name val="Cambria"/>
      <family val="1"/>
      <scheme val="major"/>
    </font>
    <font>
      <b/>
      <sz val="9"/>
      <name val="Cambria"/>
      <family val="1"/>
      <scheme val="major"/>
    </font>
    <font>
      <b/>
      <sz val="11"/>
      <name val="Cambria"/>
      <family val="1"/>
      <scheme val="major"/>
    </font>
    <font>
      <b/>
      <sz val="11"/>
      <color rgb="FF000000"/>
      <name val="Cambria"/>
      <family val="1"/>
      <scheme val="major"/>
    </font>
    <font>
      <b/>
      <sz val="13"/>
      <name val="Calibri"/>
      <family val="2"/>
      <scheme val="minor"/>
    </font>
    <font>
      <b/>
      <sz val="14"/>
      <name val="Arial Unicode MS"/>
      <family val="2"/>
    </font>
    <font>
      <b/>
      <sz val="57"/>
      <name val="Arial Unicode MS"/>
      <family val="2"/>
    </font>
    <font>
      <b/>
      <sz val="11"/>
      <color theme="1"/>
      <name val="Cambria"/>
      <family val="1"/>
      <scheme val="major"/>
    </font>
    <font>
      <sz val="11"/>
      <color rgb="FF222222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222222"/>
      <name val="Calibri"/>
      <family val="2"/>
      <scheme val="minor"/>
    </font>
    <font>
      <sz val="11"/>
      <name val="Cambria"/>
      <family val="1"/>
      <scheme val="maj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9"/>
      <color rgb="FF222222"/>
      <name val="Arial"/>
      <family val="2"/>
    </font>
    <font>
      <sz val="10"/>
      <color rgb="FF222222"/>
      <name val="Arial"/>
      <family val="2"/>
    </font>
    <font>
      <sz val="12"/>
      <color theme="1"/>
      <name val="Calibri"/>
      <family val="2"/>
      <scheme val="minor"/>
    </font>
    <font>
      <sz val="10"/>
      <color rgb="FF000000"/>
      <name val="Verdana"/>
      <family val="2"/>
    </font>
    <font>
      <sz val="10"/>
      <color rgb="FF222222"/>
      <name val="Verdana"/>
      <family val="2"/>
    </font>
    <font>
      <sz val="9"/>
      <color rgb="FF000000"/>
      <name val="Verdana"/>
      <family val="2"/>
    </font>
    <font>
      <sz val="10"/>
      <name val="Verdana"/>
      <family val="2"/>
    </font>
    <font>
      <b/>
      <sz val="9"/>
      <name val="Verdana"/>
      <family val="2"/>
    </font>
    <font>
      <b/>
      <sz val="8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7" fillId="0" borderId="0" applyFont="0" applyFill="0" applyBorder="0" applyAlignment="0" applyProtection="0"/>
  </cellStyleXfs>
  <cellXfs count="111">
    <xf numFmtId="0" fontId="0" fillId="0" borderId="0" xfId="0"/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14" fontId="2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9" fontId="12" fillId="3" borderId="11" xfId="0" applyNumberFormat="1" applyFont="1" applyFill="1" applyBorder="1" applyAlignment="1">
      <alignment horizontal="center" vertical="center" wrapText="1"/>
    </xf>
    <xf numFmtId="2" fontId="12" fillId="3" borderId="12" xfId="0" applyNumberFormat="1" applyFont="1" applyFill="1" applyBorder="1" applyAlignment="1">
      <alignment horizontal="center" vertical="center" wrapText="1"/>
    </xf>
    <xf numFmtId="2" fontId="12" fillId="0" borderId="8" xfId="0" applyNumberFormat="1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2" fontId="12" fillId="0" borderId="15" xfId="0" applyNumberFormat="1" applyFont="1" applyBorder="1" applyAlignment="1">
      <alignment horizontal="center" vertical="center" wrapText="1"/>
    </xf>
    <xf numFmtId="2" fontId="14" fillId="3" borderId="18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4" fillId="0" borderId="4" xfId="0" applyFont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vertical="center"/>
    </xf>
    <xf numFmtId="0" fontId="14" fillId="0" borderId="8" xfId="0" applyFont="1" applyBorder="1" applyAlignment="1">
      <alignment vertical="center" wrapText="1"/>
    </xf>
    <xf numFmtId="0" fontId="13" fillId="0" borderId="8" xfId="0" applyFont="1" applyBorder="1" applyAlignment="1">
      <alignment vertical="center" wrapText="1"/>
    </xf>
    <xf numFmtId="9" fontId="12" fillId="3" borderId="8" xfId="0" applyNumberFormat="1" applyFont="1" applyFill="1" applyBorder="1" applyAlignment="1">
      <alignment horizontal="center" vertical="center" wrapText="1"/>
    </xf>
    <xf numFmtId="0" fontId="11" fillId="3" borderId="22" xfId="0" applyFont="1" applyFill="1" applyBorder="1" applyAlignment="1">
      <alignment horizontal="center" vertical="center"/>
    </xf>
    <xf numFmtId="0" fontId="5" fillId="0" borderId="23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43" fontId="12" fillId="3" borderId="12" xfId="1" applyFont="1" applyFill="1" applyBorder="1" applyAlignment="1">
      <alignment horizontal="center" vertical="center" wrapText="1"/>
    </xf>
    <xf numFmtId="0" fontId="18" fillId="0" borderId="0" xfId="0" applyFont="1"/>
    <xf numFmtId="0" fontId="19" fillId="3" borderId="13" xfId="0" applyFont="1" applyFill="1" applyBorder="1" applyAlignment="1">
      <alignment horizontal="center" vertical="center"/>
    </xf>
    <xf numFmtId="43" fontId="22" fillId="0" borderId="11" xfId="1" applyFont="1" applyFill="1" applyBorder="1" applyAlignment="1">
      <alignment horizontal="left" vertical="top"/>
    </xf>
    <xf numFmtId="9" fontId="12" fillId="3" borderId="24" xfId="0" applyNumberFormat="1" applyFont="1" applyFill="1" applyBorder="1" applyAlignment="1">
      <alignment horizontal="center" vertical="center" wrapText="1"/>
    </xf>
    <xf numFmtId="2" fontId="0" fillId="0" borderId="24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43" fontId="22" fillId="0" borderId="24" xfId="1" applyFont="1" applyFill="1" applyBorder="1" applyAlignment="1">
      <alignment horizontal="left" vertical="top"/>
    </xf>
    <xf numFmtId="0" fontId="22" fillId="0" borderId="24" xfId="0" applyFont="1" applyBorder="1" applyAlignment="1">
      <alignment horizontal="center" vertical="top"/>
    </xf>
    <xf numFmtId="0" fontId="20" fillId="3" borderId="24" xfId="0" applyFont="1" applyFill="1" applyBorder="1" applyAlignment="1">
      <alignment horizontal="center" vertical="center"/>
    </xf>
    <xf numFmtId="0" fontId="19" fillId="3" borderId="24" xfId="0" applyFont="1" applyFill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2" fontId="12" fillId="0" borderId="26" xfId="0" applyNumberFormat="1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0" fontId="12" fillId="3" borderId="29" xfId="0" applyFont="1" applyFill="1" applyBorder="1" applyAlignment="1">
      <alignment horizontal="center" vertical="center" wrapText="1"/>
    </xf>
    <xf numFmtId="0" fontId="22" fillId="0" borderId="8" xfId="0" applyFont="1" applyBorder="1" applyAlignment="1">
      <alignment horizontal="left" vertical="top" wrapText="1"/>
    </xf>
    <xf numFmtId="0" fontId="21" fillId="0" borderId="8" xfId="0" applyFont="1" applyBorder="1" applyAlignment="1">
      <alignment wrapText="1"/>
    </xf>
    <xf numFmtId="0" fontId="21" fillId="0" borderId="25" xfId="0" applyFont="1" applyBorder="1" applyAlignment="1">
      <alignment wrapText="1"/>
    </xf>
    <xf numFmtId="0" fontId="24" fillId="3" borderId="30" xfId="0" applyFont="1" applyFill="1" applyBorder="1" applyAlignment="1">
      <alignment horizontal="center" vertical="center"/>
    </xf>
    <xf numFmtId="0" fontId="25" fillId="0" borderId="8" xfId="0" applyFont="1" applyBorder="1" applyAlignment="1">
      <alignment vertical="center"/>
    </xf>
    <xf numFmtId="0" fontId="24" fillId="3" borderId="24" xfId="0" applyFont="1" applyFill="1" applyBorder="1" applyAlignment="1">
      <alignment horizontal="center" vertical="center"/>
    </xf>
    <xf numFmtId="0" fontId="24" fillId="3" borderId="28" xfId="0" applyFont="1" applyFill="1" applyBorder="1" applyAlignment="1">
      <alignment horizontal="center" vertical="center"/>
    </xf>
    <xf numFmtId="0" fontId="24" fillId="3" borderId="8" xfId="0" applyFont="1" applyFill="1" applyBorder="1" applyAlignment="1">
      <alignment horizontal="center" vertical="center"/>
    </xf>
    <xf numFmtId="0" fontId="23" fillId="3" borderId="24" xfId="0" applyFont="1" applyFill="1" applyBorder="1" applyAlignment="1">
      <alignment horizontal="center" vertical="center"/>
    </xf>
    <xf numFmtId="43" fontId="22" fillId="0" borderId="24" xfId="1" applyFont="1" applyFill="1" applyBorder="1" applyAlignment="1">
      <alignment horizontal="center" vertical="top"/>
    </xf>
    <xf numFmtId="0" fontId="11" fillId="3" borderId="31" xfId="0" applyFont="1" applyFill="1" applyBorder="1" applyAlignment="1">
      <alignment horizontal="center" vertical="center"/>
    </xf>
    <xf numFmtId="0" fontId="23" fillId="3" borderId="8" xfId="0" applyFont="1" applyFill="1" applyBorder="1" applyAlignment="1">
      <alignment horizontal="center" vertical="center"/>
    </xf>
    <xf numFmtId="0" fontId="14" fillId="0" borderId="9" xfId="0" applyFont="1" applyBorder="1" applyAlignment="1">
      <alignment vertical="center"/>
    </xf>
    <xf numFmtId="0" fontId="16" fillId="0" borderId="2" xfId="0" applyFont="1" applyBorder="1" applyAlignment="1">
      <alignment horizontal="left" vertical="center"/>
    </xf>
    <xf numFmtId="0" fontId="16" fillId="0" borderId="5" xfId="0" applyFont="1" applyBorder="1" applyAlignment="1">
      <alignment horizontal="left" vertical="center"/>
    </xf>
    <xf numFmtId="0" fontId="23" fillId="0" borderId="8" xfId="0" applyFont="1" applyBorder="1"/>
    <xf numFmtId="0" fontId="23" fillId="0" borderId="8" xfId="0" applyFont="1" applyBorder="1" applyAlignment="1">
      <alignment vertical="center" wrapText="1"/>
    </xf>
    <xf numFmtId="43" fontId="17" fillId="0" borderId="24" xfId="1" applyFont="1" applyFill="1" applyBorder="1" applyAlignment="1">
      <alignment horizontal="left" vertical="top"/>
    </xf>
    <xf numFmtId="0" fontId="26" fillId="0" borderId="8" xfId="0" applyFont="1" applyBorder="1"/>
    <xf numFmtId="0" fontId="26" fillId="0" borderId="30" xfId="0" applyFont="1" applyBorder="1" applyAlignment="1">
      <alignment vertical="top" wrapText="1"/>
    </xf>
    <xf numFmtId="0" fontId="16" fillId="0" borderId="2" xfId="0" applyFont="1" applyBorder="1" applyAlignment="1">
      <alignment horizontal="left" vertical="center" wrapText="1"/>
    </xf>
    <xf numFmtId="0" fontId="12" fillId="0" borderId="8" xfId="0" applyFont="1" applyBorder="1" applyAlignment="1">
      <alignment horizontal="center" vertical="center"/>
    </xf>
    <xf numFmtId="43" fontId="12" fillId="3" borderId="27" xfId="0" applyNumberFormat="1" applyFont="1" applyFill="1" applyBorder="1" applyAlignment="1">
      <alignment horizontal="center" vertical="center" wrapText="1"/>
    </xf>
    <xf numFmtId="9" fontId="14" fillId="0" borderId="8" xfId="0" applyNumberFormat="1" applyFont="1" applyBorder="1" applyAlignment="1">
      <alignment vertical="center" wrapText="1"/>
    </xf>
    <xf numFmtId="9" fontId="13" fillId="0" borderId="8" xfId="0" applyNumberFormat="1" applyFont="1" applyBorder="1" applyAlignment="1">
      <alignment vertical="center" wrapText="1"/>
    </xf>
    <xf numFmtId="43" fontId="12" fillId="3" borderId="12" xfId="0" applyNumberFormat="1" applyFont="1" applyFill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left" vertical="center"/>
    </xf>
    <xf numFmtId="0" fontId="14" fillId="0" borderId="32" xfId="0" applyFont="1" applyBorder="1" applyAlignment="1">
      <alignment horizontal="left" vertical="center" wrapText="1"/>
    </xf>
    <xf numFmtId="0" fontId="14" fillId="0" borderId="33" xfId="0" applyFont="1" applyBorder="1" applyAlignment="1">
      <alignment horizontal="left" vertical="center" wrapText="1"/>
    </xf>
    <xf numFmtId="0" fontId="15" fillId="3" borderId="33" xfId="0" applyFont="1" applyFill="1" applyBorder="1" applyAlignment="1">
      <alignment horizontal="left" vertical="center" wrapText="1"/>
    </xf>
    <xf numFmtId="0" fontId="13" fillId="0" borderId="33" xfId="0" applyFont="1" applyBorder="1" applyAlignment="1">
      <alignment horizontal="left" vertical="center" wrapText="1"/>
    </xf>
    <xf numFmtId="0" fontId="14" fillId="0" borderId="16" xfId="0" applyFont="1" applyBorder="1" applyAlignment="1">
      <alignment horizontal="left" vertical="center" wrapText="1"/>
    </xf>
    <xf numFmtId="0" fontId="27" fillId="0" borderId="8" xfId="0" applyFont="1" applyBorder="1" applyAlignment="1">
      <alignment horizontal="center" wrapText="1"/>
    </xf>
    <xf numFmtId="0" fontId="27" fillId="0" borderId="8" xfId="0" applyFont="1" applyBorder="1"/>
    <xf numFmtId="0" fontId="28" fillId="0" borderId="8" xfId="0" applyFont="1" applyBorder="1" applyAlignment="1">
      <alignment vertical="center" wrapText="1"/>
    </xf>
    <xf numFmtId="0" fontId="7" fillId="0" borderId="19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9" fontId="14" fillId="3" borderId="16" xfId="0" applyNumberFormat="1" applyFont="1" applyFill="1" applyBorder="1" applyAlignment="1">
      <alignment horizontal="center" vertical="center" wrapText="1"/>
    </xf>
    <xf numFmtId="9" fontId="14" fillId="3" borderId="17" xfId="0" applyNumberFormat="1" applyFont="1" applyFill="1" applyBorder="1" applyAlignment="1">
      <alignment horizontal="center" vertical="center" wrapText="1"/>
    </xf>
    <xf numFmtId="0" fontId="14" fillId="0" borderId="7" xfId="0" applyFont="1" applyBorder="1" applyAlignment="1">
      <alignment horizontal="right" wrapText="1"/>
    </xf>
    <xf numFmtId="0" fontId="14" fillId="0" borderId="3" xfId="0" applyFont="1" applyBorder="1" applyAlignment="1">
      <alignment horizontal="right" wrapText="1"/>
    </xf>
    <xf numFmtId="2" fontId="12" fillId="0" borderId="1" xfId="0" applyNumberFormat="1" applyFont="1" applyBorder="1" applyAlignment="1">
      <alignment horizontal="right" vertical="center" wrapText="1"/>
    </xf>
    <xf numFmtId="2" fontId="12" fillId="0" borderId="6" xfId="0" applyNumberFormat="1" applyFont="1" applyBorder="1" applyAlignment="1">
      <alignment horizontal="right" vertical="center" wrapText="1"/>
    </xf>
    <xf numFmtId="0" fontId="8" fillId="0" borderId="0" xfId="0" applyFont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"/>
  <sheetViews>
    <sheetView tabSelected="1" zoomScaleNormal="100" workbookViewId="0">
      <selection activeCell="E6" sqref="E6"/>
    </sheetView>
  </sheetViews>
  <sheetFormatPr defaultRowHeight="14.4"/>
  <cols>
    <col min="1" max="1" width="5.6640625" customWidth="1"/>
    <col min="2" max="2" width="39.88671875" customWidth="1"/>
    <col min="3" max="3" width="7.5546875" bestFit="1" customWidth="1"/>
    <col min="4" max="4" width="6.88671875" customWidth="1"/>
    <col min="5" max="5" width="11" customWidth="1"/>
    <col min="6" max="6" width="6.44140625" customWidth="1"/>
    <col min="7" max="7" width="5.33203125" bestFit="1" customWidth="1"/>
    <col min="8" max="8" width="14.33203125" bestFit="1" customWidth="1"/>
  </cols>
  <sheetData>
    <row r="1" spans="1:8" ht="15" customHeight="1">
      <c r="A1" s="107" t="s">
        <v>19</v>
      </c>
      <c r="B1" s="107"/>
      <c r="C1" s="107"/>
      <c r="D1" s="107"/>
      <c r="E1" s="107"/>
      <c r="F1" s="107"/>
      <c r="G1" s="107"/>
      <c r="H1" s="107"/>
    </row>
    <row r="2" spans="1:8" ht="46.5" customHeight="1">
      <c r="A2" s="108" t="s">
        <v>0</v>
      </c>
      <c r="B2" s="108"/>
      <c r="C2" s="108"/>
      <c r="D2" s="108"/>
      <c r="E2" s="108"/>
      <c r="F2" s="108"/>
      <c r="G2" s="108"/>
      <c r="H2" s="108"/>
    </row>
    <row r="3" spans="1:8" ht="15" thickBot="1">
      <c r="A3" s="109" t="s">
        <v>15</v>
      </c>
      <c r="B3" s="109"/>
      <c r="C3" s="109"/>
      <c r="D3" s="109"/>
      <c r="E3" s="109"/>
      <c r="F3" s="110" t="s">
        <v>14</v>
      </c>
      <c r="G3" s="110"/>
      <c r="H3" s="110"/>
    </row>
    <row r="4" spans="1:8">
      <c r="A4" s="12"/>
      <c r="B4" s="13"/>
      <c r="C4" s="14" t="s">
        <v>20</v>
      </c>
      <c r="D4" s="14"/>
      <c r="E4" s="15">
        <v>27766</v>
      </c>
      <c r="F4" s="14"/>
      <c r="G4" s="14"/>
      <c r="H4" s="13"/>
    </row>
    <row r="5" spans="1:8" ht="17.399999999999999">
      <c r="A5" s="2" t="s">
        <v>1</v>
      </c>
      <c r="B5" s="47" t="s">
        <v>29</v>
      </c>
      <c r="C5" s="11" t="s">
        <v>2</v>
      </c>
      <c r="D5" s="3"/>
      <c r="E5" s="4" t="s">
        <v>33</v>
      </c>
      <c r="F5" s="3"/>
      <c r="G5" s="3"/>
      <c r="H5" s="1"/>
    </row>
    <row r="6" spans="1:8" ht="15" thickBot="1">
      <c r="A6" s="5"/>
      <c r="B6" s="6"/>
      <c r="C6" s="7"/>
      <c r="D6" s="7"/>
      <c r="E6" s="8"/>
      <c r="F6" s="9"/>
      <c r="G6" s="9"/>
      <c r="H6" s="10"/>
    </row>
    <row r="7" spans="1:8" ht="28.2" thickBot="1">
      <c r="A7" s="41" t="s">
        <v>3</v>
      </c>
      <c r="B7" s="42" t="s">
        <v>4</v>
      </c>
      <c r="C7" s="43" t="s">
        <v>5</v>
      </c>
      <c r="D7" s="43" t="s">
        <v>6</v>
      </c>
      <c r="E7" s="41" t="s">
        <v>7</v>
      </c>
      <c r="F7" s="44" t="s">
        <v>8</v>
      </c>
      <c r="G7" s="43" t="s">
        <v>9</v>
      </c>
      <c r="H7" s="41" t="s">
        <v>10</v>
      </c>
    </row>
    <row r="8" spans="1:8" ht="50.4">
      <c r="A8" s="72">
        <v>1</v>
      </c>
      <c r="B8" s="81" t="s">
        <v>32</v>
      </c>
      <c r="C8" s="73">
        <v>200</v>
      </c>
      <c r="D8" s="65" t="s">
        <v>25</v>
      </c>
      <c r="E8" s="52">
        <v>2200</v>
      </c>
      <c r="F8" s="65" t="s">
        <v>25</v>
      </c>
      <c r="G8" s="50">
        <v>0.18</v>
      </c>
      <c r="H8" s="46">
        <f t="shared" ref="H8" si="0">E8*C8</f>
        <v>440000</v>
      </c>
    </row>
    <row r="9" spans="1:8">
      <c r="A9" s="72"/>
      <c r="B9" s="95" t="s">
        <v>31</v>
      </c>
      <c r="C9" s="70"/>
      <c r="D9" s="69"/>
      <c r="E9" s="51"/>
      <c r="F9" s="69"/>
      <c r="G9" s="50"/>
      <c r="H9" s="46"/>
    </row>
    <row r="10" spans="1:8">
      <c r="A10" s="72"/>
      <c r="B10" s="80"/>
      <c r="C10" s="70"/>
      <c r="D10" s="69"/>
      <c r="E10" s="52"/>
      <c r="F10" s="69"/>
      <c r="G10" s="50"/>
      <c r="H10" s="46"/>
    </row>
    <row r="11" spans="1:8" ht="40.799999999999997">
      <c r="A11" s="72"/>
      <c r="B11" s="97" t="s">
        <v>27</v>
      </c>
      <c r="C11" s="70"/>
      <c r="D11" s="69"/>
      <c r="E11" s="57"/>
      <c r="F11" s="69"/>
      <c r="G11" s="50"/>
      <c r="H11" s="46"/>
    </row>
    <row r="12" spans="1:8">
      <c r="A12" s="72"/>
      <c r="B12" s="96" t="s">
        <v>30</v>
      </c>
      <c r="C12" s="70"/>
      <c r="D12" s="69"/>
      <c r="E12" s="52"/>
      <c r="F12" s="69"/>
      <c r="G12" s="50"/>
      <c r="H12" s="46"/>
    </row>
    <row r="13" spans="1:8">
      <c r="A13" s="72"/>
      <c r="B13" s="77"/>
      <c r="C13" s="70"/>
      <c r="D13" s="69"/>
      <c r="E13" s="52"/>
      <c r="F13" s="69"/>
      <c r="G13" s="50"/>
      <c r="H13" s="46"/>
    </row>
    <row r="14" spans="1:8">
      <c r="A14" s="72"/>
      <c r="B14" s="78"/>
      <c r="C14" s="68"/>
      <c r="D14" s="69"/>
      <c r="E14" s="79"/>
      <c r="F14" s="69"/>
      <c r="G14" s="50"/>
      <c r="H14" s="46"/>
    </row>
    <row r="15" spans="1:8" ht="15.6">
      <c r="A15" s="72"/>
      <c r="B15" s="77"/>
      <c r="C15" s="70"/>
      <c r="D15" s="69"/>
      <c r="E15" s="53"/>
      <c r="F15" s="69"/>
      <c r="G15" s="50"/>
      <c r="H15" s="46"/>
    </row>
    <row r="16" spans="1:8" ht="15.6">
      <c r="A16" s="72"/>
      <c r="B16" s="77"/>
      <c r="C16" s="70"/>
      <c r="D16" s="69"/>
      <c r="E16" s="53"/>
      <c r="F16" s="69"/>
      <c r="G16" s="50"/>
      <c r="H16" s="46"/>
    </row>
    <row r="17" spans="1:8" ht="15.6">
      <c r="A17" s="72"/>
      <c r="B17" s="77"/>
      <c r="C17" s="70"/>
      <c r="D17" s="69"/>
      <c r="E17" s="53"/>
      <c r="F17" s="69"/>
      <c r="G17" s="50"/>
      <c r="H17" s="46"/>
    </row>
    <row r="18" spans="1:8" ht="15.6">
      <c r="A18" s="72"/>
      <c r="B18" s="77"/>
      <c r="C18" s="70"/>
      <c r="D18" s="69"/>
      <c r="E18" s="53"/>
      <c r="F18" s="69"/>
      <c r="G18" s="50"/>
      <c r="H18" s="46"/>
    </row>
    <row r="19" spans="1:8" ht="15.6">
      <c r="A19" s="72"/>
      <c r="B19" s="77"/>
      <c r="C19" s="70"/>
      <c r="D19" s="69"/>
      <c r="E19" s="53"/>
      <c r="F19" s="69"/>
      <c r="G19" s="50"/>
      <c r="H19" s="46"/>
    </row>
    <row r="20" spans="1:8" ht="15.6">
      <c r="A20" s="72"/>
      <c r="B20" s="77"/>
      <c r="C20" s="70"/>
      <c r="D20" s="69"/>
      <c r="E20" s="53"/>
      <c r="F20" s="69"/>
      <c r="G20" s="50"/>
      <c r="H20" s="46"/>
    </row>
    <row r="21" spans="1:8" ht="15.6">
      <c r="A21" s="72"/>
      <c r="B21" s="77"/>
      <c r="C21" s="70"/>
      <c r="D21" s="69"/>
      <c r="E21" s="53"/>
      <c r="F21" s="69"/>
      <c r="G21" s="50"/>
      <c r="H21" s="46"/>
    </row>
    <row r="22" spans="1:8" ht="15.6">
      <c r="A22" s="72"/>
      <c r="B22" s="77"/>
      <c r="C22" s="70"/>
      <c r="D22" s="69"/>
      <c r="E22" s="53"/>
      <c r="F22" s="69"/>
      <c r="G22" s="50"/>
      <c r="H22" s="46"/>
    </row>
    <row r="23" spans="1:8" ht="15.6">
      <c r="A23" s="72"/>
      <c r="B23" s="77"/>
      <c r="C23" s="70"/>
      <c r="D23" s="69"/>
      <c r="E23" s="53"/>
      <c r="F23" s="69"/>
      <c r="G23" s="50"/>
      <c r="H23" s="46"/>
    </row>
    <row r="24" spans="1:8" ht="15.6">
      <c r="A24" s="72"/>
      <c r="B24" s="77"/>
      <c r="C24" s="70"/>
      <c r="D24" s="69"/>
      <c r="E24" s="53"/>
      <c r="F24" s="69"/>
      <c r="G24" s="50"/>
      <c r="H24" s="46"/>
    </row>
    <row r="25" spans="1:8" ht="15.6">
      <c r="A25" s="72"/>
      <c r="B25" s="77"/>
      <c r="C25" s="70"/>
      <c r="D25" s="69"/>
      <c r="E25" s="53"/>
      <c r="F25" s="69"/>
      <c r="G25" s="50"/>
      <c r="H25" s="46"/>
    </row>
    <row r="26" spans="1:8" ht="15.6">
      <c r="A26" s="40"/>
      <c r="B26" s="66"/>
      <c r="C26" s="70"/>
      <c r="D26" s="67"/>
      <c r="E26" s="71"/>
      <c r="F26" s="67"/>
      <c r="G26" s="50"/>
      <c r="H26" s="46"/>
    </row>
    <row r="27" spans="1:8" ht="15.6">
      <c r="A27" s="40"/>
      <c r="B27" s="66"/>
      <c r="C27" s="70"/>
      <c r="D27" s="67"/>
      <c r="E27" s="71"/>
      <c r="F27" s="67"/>
      <c r="G27" s="50"/>
      <c r="H27" s="46"/>
    </row>
    <row r="28" spans="1:8" ht="15.6">
      <c r="A28" s="40"/>
      <c r="B28" s="66"/>
      <c r="C28" s="70"/>
      <c r="D28" s="67"/>
      <c r="E28" s="71"/>
      <c r="F28" s="67"/>
      <c r="G28" s="50"/>
      <c r="H28" s="46"/>
    </row>
    <row r="29" spans="1:8" ht="15.6">
      <c r="A29" s="40"/>
      <c r="B29" s="66"/>
      <c r="C29" s="70"/>
      <c r="D29" s="67"/>
      <c r="E29" s="71"/>
      <c r="F29" s="67"/>
      <c r="G29" s="50"/>
      <c r="H29" s="46"/>
    </row>
    <row r="30" spans="1:8" ht="15.6">
      <c r="A30" s="40"/>
      <c r="B30" s="66"/>
      <c r="C30" s="70"/>
      <c r="D30" s="67"/>
      <c r="E30" s="71"/>
      <c r="F30" s="67"/>
      <c r="G30" s="50"/>
      <c r="H30" s="46"/>
    </row>
    <row r="31" spans="1:8" ht="15.6">
      <c r="A31" s="40"/>
      <c r="B31" s="62"/>
      <c r="C31" s="54"/>
      <c r="D31" s="48"/>
      <c r="E31" s="49"/>
      <c r="F31" s="48"/>
      <c r="G31" s="39"/>
      <c r="H31" s="46"/>
    </row>
    <row r="32" spans="1:8" ht="15.6">
      <c r="A32" s="40"/>
      <c r="B32" s="62"/>
      <c r="C32" s="54"/>
      <c r="D32" s="48"/>
      <c r="E32" s="49"/>
      <c r="F32" s="48"/>
      <c r="G32" s="39"/>
      <c r="H32" s="46"/>
    </row>
    <row r="33" spans="1:8">
      <c r="A33" s="40"/>
      <c r="B33" s="63"/>
      <c r="C33" s="55"/>
      <c r="D33" s="48"/>
      <c r="E33" s="45"/>
      <c r="F33" s="48"/>
      <c r="G33" s="39"/>
      <c r="H33" s="46"/>
    </row>
    <row r="34" spans="1:8">
      <c r="A34" s="40"/>
      <c r="B34" s="64"/>
      <c r="C34" s="56"/>
      <c r="D34" s="48"/>
      <c r="E34" s="45"/>
      <c r="F34" s="48"/>
      <c r="G34" s="39"/>
      <c r="H34" s="46"/>
    </row>
    <row r="35" spans="1:8">
      <c r="A35" s="88"/>
      <c r="B35" s="89"/>
      <c r="C35" s="58"/>
      <c r="D35" s="58"/>
      <c r="E35" s="59"/>
      <c r="F35" s="60"/>
      <c r="G35" s="39"/>
      <c r="H35" s="61"/>
    </row>
    <row r="36" spans="1:8">
      <c r="A36" s="20"/>
      <c r="B36" s="90"/>
      <c r="C36" s="19"/>
      <c r="D36" s="21"/>
      <c r="E36" s="18"/>
      <c r="F36" s="83" t="s">
        <v>18</v>
      </c>
      <c r="G36" s="16"/>
      <c r="H36" s="84">
        <f>SUM(H8:H35)</f>
        <v>440000</v>
      </c>
    </row>
    <row r="37" spans="1:8">
      <c r="A37" s="20"/>
      <c r="B37" s="91"/>
      <c r="C37" s="19"/>
      <c r="D37" s="21"/>
      <c r="E37" s="18"/>
      <c r="F37" s="37" t="s">
        <v>22</v>
      </c>
      <c r="G37" s="85">
        <v>0.09</v>
      </c>
      <c r="H37" s="87">
        <f>H36*9/100</f>
        <v>39600</v>
      </c>
    </row>
    <row r="38" spans="1:8">
      <c r="A38" s="20"/>
      <c r="B38" s="92"/>
      <c r="C38" s="19"/>
      <c r="D38" s="22"/>
      <c r="E38" s="18"/>
      <c r="F38" s="38" t="s">
        <v>23</v>
      </c>
      <c r="G38" s="86">
        <v>0.09</v>
      </c>
      <c r="H38" s="87">
        <f>H37</f>
        <v>39600</v>
      </c>
    </row>
    <row r="39" spans="1:8">
      <c r="A39" s="20"/>
      <c r="B39" s="93"/>
      <c r="C39" s="19"/>
      <c r="D39" s="19"/>
      <c r="E39" s="18"/>
      <c r="F39" s="37" t="s">
        <v>16</v>
      </c>
      <c r="G39" s="37"/>
      <c r="H39" s="17" t="s">
        <v>16</v>
      </c>
    </row>
    <row r="40" spans="1:8" ht="15" thickBot="1">
      <c r="A40" s="23"/>
      <c r="B40" s="94"/>
      <c r="C40" s="24"/>
      <c r="D40" s="24"/>
      <c r="E40" s="25"/>
      <c r="F40" s="101" t="s">
        <v>24</v>
      </c>
      <c r="G40" s="102"/>
      <c r="H40" s="26">
        <f>SUM(H36:H39)</f>
        <v>519200</v>
      </c>
    </row>
    <row r="41" spans="1:8">
      <c r="A41" s="33"/>
      <c r="B41" s="74" t="s">
        <v>11</v>
      </c>
      <c r="C41" s="35"/>
      <c r="D41" s="36"/>
      <c r="E41" s="103" t="s">
        <v>17</v>
      </c>
      <c r="F41" s="103"/>
      <c r="G41" s="103"/>
      <c r="H41" s="104"/>
    </row>
    <row r="42" spans="1:8">
      <c r="A42" s="33"/>
      <c r="B42" s="75" t="s">
        <v>21</v>
      </c>
      <c r="C42" s="28"/>
      <c r="D42" s="27"/>
      <c r="E42" s="29"/>
      <c r="F42" s="30"/>
      <c r="G42" s="28"/>
      <c r="H42" s="31"/>
    </row>
    <row r="43" spans="1:8" ht="16.8" customHeight="1">
      <c r="A43" s="33"/>
      <c r="B43" s="82" t="s">
        <v>28</v>
      </c>
      <c r="C43" s="28"/>
      <c r="D43" s="27"/>
      <c r="E43" s="29"/>
      <c r="F43" s="30"/>
      <c r="G43" s="28"/>
      <c r="H43" s="31"/>
    </row>
    <row r="44" spans="1:8" ht="15.75" customHeight="1" thickBot="1">
      <c r="A44" s="34"/>
      <c r="B44" s="76" t="s">
        <v>26</v>
      </c>
      <c r="C44" s="32"/>
      <c r="D44" s="32"/>
      <c r="E44" s="105" t="s">
        <v>12</v>
      </c>
      <c r="F44" s="105"/>
      <c r="G44" s="105"/>
      <c r="H44" s="106"/>
    </row>
    <row r="45" spans="1:8" ht="15.75" customHeight="1" thickBot="1">
      <c r="A45" s="98" t="s">
        <v>13</v>
      </c>
      <c r="B45" s="99"/>
      <c r="C45" s="99"/>
      <c r="D45" s="99"/>
      <c r="E45" s="99"/>
      <c r="F45" s="99"/>
      <c r="G45" s="99"/>
      <c r="H45" s="100"/>
    </row>
  </sheetData>
  <mergeCells count="8">
    <mergeCell ref="A45:H45"/>
    <mergeCell ref="F40:G40"/>
    <mergeCell ref="E41:H41"/>
    <mergeCell ref="E44:H44"/>
    <mergeCell ref="A1:H1"/>
    <mergeCell ref="A2:H2"/>
    <mergeCell ref="A3:E3"/>
    <mergeCell ref="F3:H3"/>
  </mergeCells>
  <pageMargins left="0.28000000000000003" right="0.3" top="0.23622047244094499" bottom="0.23622047244094499" header="0.23622047244094499" footer="0.23622047244094499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nirma</dc:creator>
  <cp:lastModifiedBy>Nirmal Dewasi</cp:lastModifiedBy>
  <cp:lastPrinted>2025-07-30T11:29:36Z</cp:lastPrinted>
  <dcterms:created xsi:type="dcterms:W3CDTF">2021-03-18T15:08:59Z</dcterms:created>
  <dcterms:modified xsi:type="dcterms:W3CDTF">2025-07-30T11:30:46Z</dcterms:modified>
</cp:coreProperties>
</file>