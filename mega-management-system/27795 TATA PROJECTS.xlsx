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LD DATA\Mega Quotation - Copy\"/>
    </mc:Choice>
  </mc:AlternateContent>
  <xr:revisionPtr revIDLastSave="0" documentId="13_ncr:1_{E4FED775-DB2D-44A7-8141-1A4E7983E0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4" r:id="rId1"/>
    <sheet name="Sheet2" sheetId="1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4" l="1"/>
  <c r="H37" i="4" l="1"/>
</calcChain>
</file>

<file path=xl/sharedStrings.xml><?xml version="1.0" encoding="utf-8"?>
<sst xmlns="http://schemas.openxmlformats.org/spreadsheetml/2006/main" count="45" uniqueCount="39">
  <si>
    <t>MEGA ENTERPRISE</t>
  </si>
  <si>
    <t>REF NO</t>
  </si>
  <si>
    <t>TO,</t>
  </si>
  <si>
    <t>DATE</t>
  </si>
  <si>
    <t xml:space="preserve"> </t>
  </si>
  <si>
    <t>Sr No</t>
  </si>
  <si>
    <t>DISCRIPTION</t>
  </si>
  <si>
    <t>QTY</t>
  </si>
  <si>
    <t>UNIT</t>
  </si>
  <si>
    <t>RATE</t>
  </si>
  <si>
    <t>PER</t>
  </si>
  <si>
    <t>GST</t>
  </si>
  <si>
    <t>AMOUNT (EXCL GST)</t>
  </si>
  <si>
    <t>TERMS&amp;CONDITION</t>
  </si>
  <si>
    <r>
      <rPr>
        <b/>
        <sz val="13"/>
        <rFont val="Cambria"/>
        <family val="1"/>
        <scheme val="major"/>
      </rPr>
      <t>For,</t>
    </r>
    <r>
      <rPr>
        <b/>
        <sz val="12"/>
        <rFont val="Cambria"/>
        <family val="1"/>
        <scheme val="major"/>
      </rPr>
      <t xml:space="preserve"> Mega Enterprise.</t>
    </r>
  </si>
  <si>
    <t>GST EXTRA AS APPLICABLE</t>
  </si>
  <si>
    <t>Authorised Signatory.</t>
  </si>
  <si>
    <t>GST NO: 27DRGPD9065L1ZA</t>
  </si>
  <si>
    <t>Q U O T A T I O N</t>
  </si>
  <si>
    <t>MOB. NO. 7506070157</t>
  </si>
  <si>
    <t>1ST LEVEL, PLOT NO PAP-57, MIDC WATER TANK, MIDC TALOJA, NAVI MUMBAI -410208</t>
  </si>
  <si>
    <t>TOTAL</t>
  </si>
  <si>
    <t>TATA PROJECTS LIMITED</t>
  </si>
  <si>
    <t>Bank Name: IDBI BANK</t>
  </si>
  <si>
    <t>A/c No.: 0047102000009430</t>
  </si>
  <si>
    <t>Branch: MIDC TALOJA</t>
  </si>
  <si>
    <t>IFS Code: IBKL0000047</t>
  </si>
  <si>
    <t>PAYMENT IMMEDIATE</t>
  </si>
  <si>
    <t>OFFER VALIDITY 1 WEEK</t>
  </si>
  <si>
    <t>NOS</t>
  </si>
  <si>
    <t>Qty</t>
  </si>
  <si>
    <t>Item Specification- Details </t>
  </si>
  <si>
    <t>Unit</t>
  </si>
  <si>
    <t>No</t>
  </si>
  <si>
    <t>PLATE GI,  890X890X22MM WITH CUTTING BENDING GALVANIZING HOLES FOR ANCHOR FASTENER </t>
  </si>
  <si>
    <t>PLATE GI,  22MMX890MMX825MM - WITH CUTTING, GALVANIZING, HOLES FOR ANCHOR FASTENER</t>
  </si>
  <si>
    <t>PLATE GI, GI BASE PLATE - 22MMX100MMX825MM - WITH CUTTING, GALVANIZING, HOLES FOR ANCHOR FASTENER</t>
  </si>
  <si>
    <t>03.09.2025</t>
  </si>
  <si>
    <t>SHUTTER ON HIRING FOR 60 DAYSFOR PIER LIFTS OF MJB 127 &amp; MNRUB123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</si>
</sst>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Cambria"/>
      <family val="1"/>
      <scheme val="major"/>
    </font>
    <font>
      <b/>
      <sz val="14"/>
      <name val="Cambria"/>
      <family val="1"/>
      <scheme val="major"/>
    </font>
    <font>
      <b/>
      <sz val="9"/>
      <name val="Cambria"/>
      <family val="1"/>
      <scheme val="major"/>
    </font>
    <font>
      <b/>
      <sz val="11"/>
      <name val="Cambria"/>
      <family val="1"/>
      <scheme val="major"/>
    </font>
    <font>
      <b/>
      <sz val="11"/>
      <color rgb="FF000000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name val="Calibri"/>
      <family val="2"/>
      <scheme val="minor"/>
    </font>
    <font>
      <sz val="10"/>
      <name val="Cambria"/>
      <family val="1"/>
      <scheme val="major"/>
    </font>
    <font>
      <b/>
      <sz val="12"/>
      <name val="Cambria"/>
      <family val="1"/>
      <scheme val="major"/>
    </font>
    <font>
      <b/>
      <sz val="13"/>
      <name val="Cambria"/>
      <family val="1"/>
      <scheme val="major"/>
    </font>
    <font>
      <sz val="11"/>
      <name val="Cambria"/>
      <family val="1"/>
      <scheme val="major"/>
    </font>
    <font>
      <sz val="12"/>
      <name val="Cambria"/>
      <family val="1"/>
      <scheme val="major"/>
    </font>
    <font>
      <sz val="12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Arial Unicode MS"/>
      <family val="2"/>
    </font>
    <font>
      <b/>
      <sz val="11"/>
      <color rgb="FF222222"/>
      <name val="Cambria"/>
      <family val="1"/>
      <scheme val="major"/>
    </font>
    <font>
      <b/>
      <sz val="57"/>
      <name val="Arial Unicode MS"/>
      <family val="2"/>
    </font>
    <font>
      <sz val="9"/>
      <name val="Verdana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222222"/>
      <name val="Calibri"/>
      <family val="2"/>
      <scheme val="minor"/>
    </font>
    <font>
      <sz val="9"/>
      <color rgb="FF000000"/>
      <name val="Verdana"/>
      <family val="2"/>
    </font>
    <font>
      <sz val="9"/>
      <color theme="1"/>
      <name val="Verdana"/>
      <family val="2"/>
    </font>
    <font>
      <sz val="12"/>
      <color rgb="FF222222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57171"/>
        <bgColor indexed="64"/>
      </patternFill>
    </fill>
    <fill>
      <patternFill patternType="solid">
        <fgColor rgb="FFB4C6E7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2" fontId="13" fillId="0" borderId="0" xfId="0" applyNumberFormat="1" applyFont="1" applyAlignment="1">
      <alignment horizontal="center" vertical="center" wrapText="1"/>
    </xf>
    <xf numFmtId="2" fontId="13" fillId="0" borderId="4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2" fontId="13" fillId="0" borderId="1" xfId="0" applyNumberFormat="1" applyFont="1" applyBorder="1" applyAlignment="1">
      <alignment horizontal="center" vertical="center"/>
    </xf>
    <xf numFmtId="2" fontId="8" fillId="0" borderId="14" xfId="0" applyNumberFormat="1" applyFont="1" applyBorder="1" applyAlignment="1">
      <alignment horizontal="center" vertical="center" wrapText="1"/>
    </xf>
    <xf numFmtId="9" fontId="8" fillId="3" borderId="14" xfId="0" applyNumberFormat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2" fontId="16" fillId="3" borderId="18" xfId="0" applyNumberFormat="1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2" fontId="8" fillId="0" borderId="19" xfId="0" applyNumberFormat="1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9" fontId="8" fillId="3" borderId="15" xfId="0" applyNumberFormat="1" applyFont="1" applyFill="1" applyBorder="1" applyAlignment="1">
      <alignment horizontal="center" vertical="center" wrapText="1"/>
    </xf>
    <xf numFmtId="2" fontId="8" fillId="3" borderId="17" xfId="0" applyNumberFormat="1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/>
    </xf>
    <xf numFmtId="0" fontId="22" fillId="0" borderId="25" xfId="0" applyFont="1" applyBorder="1" applyAlignment="1">
      <alignment horizontal="left" vertical="top" wrapText="1"/>
    </xf>
    <xf numFmtId="0" fontId="22" fillId="0" borderId="26" xfId="0" applyFont="1" applyBorder="1" applyAlignment="1">
      <alignment horizontal="left" vertical="top" wrapText="1"/>
    </xf>
    <xf numFmtId="0" fontId="23" fillId="3" borderId="26" xfId="0" applyFont="1" applyFill="1" applyBorder="1" applyAlignment="1">
      <alignment horizontal="left" vertical="top" wrapText="1"/>
    </xf>
    <xf numFmtId="0" fontId="21" fillId="0" borderId="26" xfId="0" applyFont="1" applyBorder="1" applyAlignment="1">
      <alignment horizontal="left" vertical="center" wrapText="1"/>
    </xf>
    <xf numFmtId="0" fontId="22" fillId="0" borderId="18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18" fillId="0" borderId="9" xfId="0" applyFont="1" applyBorder="1" applyAlignment="1">
      <alignment wrapText="1"/>
    </xf>
    <xf numFmtId="0" fontId="2" fillId="0" borderId="27" xfId="0" applyFont="1" applyBorder="1" applyAlignment="1">
      <alignment horizontal="center" vertical="center"/>
    </xf>
    <xf numFmtId="9" fontId="20" fillId="3" borderId="14" xfId="0" applyNumberFormat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2" fontId="20" fillId="3" borderId="26" xfId="0" applyNumberFormat="1" applyFont="1" applyFill="1" applyBorder="1" applyAlignment="1">
      <alignment horizontal="right" vertical="center" wrapText="1"/>
    </xf>
    <xf numFmtId="0" fontId="6" fillId="0" borderId="7" xfId="0" applyFont="1" applyBorder="1" applyAlignment="1">
      <alignment horizontal="center" vertical="center" wrapText="1"/>
    </xf>
    <xf numFmtId="9" fontId="20" fillId="3" borderId="28" xfId="0" applyNumberFormat="1" applyFont="1" applyFill="1" applyBorder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/>
    </xf>
    <xf numFmtId="2" fontId="20" fillId="0" borderId="14" xfId="0" applyNumberFormat="1" applyFont="1" applyBorder="1" applyAlignment="1">
      <alignment horizontal="center" vertical="center" wrapText="1"/>
    </xf>
    <xf numFmtId="0" fontId="24" fillId="3" borderId="14" xfId="0" applyFont="1" applyFill="1" applyBorder="1" applyAlignment="1">
      <alignment vertical="center"/>
    </xf>
    <xf numFmtId="0" fontId="24" fillId="3" borderId="14" xfId="0" applyFont="1" applyFill="1" applyBorder="1" applyAlignment="1">
      <alignment horizontal="center" vertical="center"/>
    </xf>
    <xf numFmtId="0" fontId="20" fillId="0" borderId="24" xfId="0" applyFont="1" applyBorder="1" applyAlignment="1">
      <alignment horizontal="center" vertical="center" wrapText="1"/>
    </xf>
    <xf numFmtId="0" fontId="24" fillId="3" borderId="14" xfId="0" applyFont="1" applyFill="1" applyBorder="1" applyAlignment="1">
      <alignment horizontal="center" vertical="center" wrapText="1"/>
    </xf>
    <xf numFmtId="0" fontId="24" fillId="3" borderId="14" xfId="0" applyFont="1" applyFill="1" applyBorder="1" applyAlignment="1">
      <alignment vertical="center" wrapText="1"/>
    </xf>
    <xf numFmtId="2" fontId="20" fillId="3" borderId="29" xfId="0" applyNumberFormat="1" applyFont="1" applyFill="1" applyBorder="1" applyAlignment="1">
      <alignment horizontal="right" vertical="center" wrapText="1"/>
    </xf>
    <xf numFmtId="0" fontId="20" fillId="0" borderId="30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left" vertical="center"/>
    </xf>
    <xf numFmtId="3" fontId="25" fillId="0" borderId="14" xfId="0" applyNumberFormat="1" applyFont="1" applyBorder="1" applyAlignment="1">
      <alignment horizontal="center" vertical="top"/>
    </xf>
    <xf numFmtId="0" fontId="25" fillId="0" borderId="14" xfId="0" applyFont="1" applyBorder="1" applyAlignment="1">
      <alignment vertical="top"/>
    </xf>
    <xf numFmtId="4" fontId="25" fillId="0" borderId="14" xfId="0" applyNumberFormat="1" applyFont="1" applyBorder="1" applyAlignment="1">
      <alignment horizontal="center" vertical="top"/>
    </xf>
    <xf numFmtId="0" fontId="20" fillId="0" borderId="14" xfId="0" applyFont="1" applyBorder="1" applyAlignment="1">
      <alignment horizontal="left" vertical="center"/>
    </xf>
    <xf numFmtId="3" fontId="25" fillId="0" borderId="32" xfId="0" applyNumberFormat="1" applyFont="1" applyBorder="1" applyAlignment="1">
      <alignment horizontal="center" vertical="center"/>
    </xf>
    <xf numFmtId="4" fontId="25" fillId="0" borderId="31" xfId="0" applyNumberFormat="1" applyFont="1" applyBorder="1" applyAlignment="1">
      <alignment horizontal="center" vertical="center"/>
    </xf>
    <xf numFmtId="3" fontId="25" fillId="0" borderId="14" xfId="0" applyNumberFormat="1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4" fontId="25" fillId="0" borderId="14" xfId="0" applyNumberFormat="1" applyFont="1" applyBorder="1" applyAlignment="1">
      <alignment horizontal="center" vertical="center"/>
    </xf>
    <xf numFmtId="0" fontId="26" fillId="0" borderId="0" xfId="0" applyFont="1" applyAlignment="1">
      <alignment vertical="center" wrapText="1"/>
    </xf>
    <xf numFmtId="0" fontId="24" fillId="3" borderId="33" xfId="0" applyFont="1" applyFill="1" applyBorder="1" applyAlignment="1">
      <alignment horizontal="center" vertical="center"/>
    </xf>
    <xf numFmtId="0" fontId="27" fillId="4" borderId="27" xfId="0" applyFont="1" applyFill="1" applyBorder="1" applyAlignment="1">
      <alignment vertical="center" wrapText="1"/>
    </xf>
    <xf numFmtId="0" fontId="27" fillId="4" borderId="3" xfId="0" applyFont="1" applyFill="1" applyBorder="1" applyAlignment="1">
      <alignment horizontal="center" vertical="center" wrapText="1"/>
    </xf>
    <xf numFmtId="0" fontId="28" fillId="3" borderId="14" xfId="0" applyFont="1" applyFill="1" applyBorder="1" applyAlignment="1">
      <alignment horizontal="center" vertical="center"/>
    </xf>
    <xf numFmtId="0" fontId="28" fillId="5" borderId="14" xfId="0" applyFont="1" applyFill="1" applyBorder="1" applyAlignment="1">
      <alignment horizontal="center" vertical="center" wrapText="1"/>
    </xf>
    <xf numFmtId="2" fontId="20" fillId="3" borderId="34" xfId="0" applyNumberFormat="1" applyFont="1" applyFill="1" applyBorder="1" applyAlignment="1">
      <alignment horizontal="right" vertical="center" wrapText="1"/>
    </xf>
    <xf numFmtId="0" fontId="25" fillId="0" borderId="32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0" fontId="29" fillId="0" borderId="0" xfId="0" applyFont="1" applyAlignment="1">
      <alignment vertical="center" wrapText="1"/>
    </xf>
    <xf numFmtId="0" fontId="29" fillId="0" borderId="14" xfId="0" applyFont="1" applyBorder="1" applyAlignment="1">
      <alignment vertical="center" wrapText="1"/>
    </xf>
    <xf numFmtId="0" fontId="15" fillId="0" borderId="12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0" fillId="0" borderId="10" xfId="0" applyFont="1" applyBorder="1" applyAlignment="1">
      <alignment horizontal="right" wrapText="1"/>
    </xf>
    <xf numFmtId="0" fontId="10" fillId="0" borderId="3" xfId="0" applyFont="1" applyBorder="1" applyAlignment="1">
      <alignment horizontal="right" wrapText="1"/>
    </xf>
    <xf numFmtId="2" fontId="13" fillId="0" borderId="1" xfId="0" applyNumberFormat="1" applyFont="1" applyBorder="1" applyAlignment="1">
      <alignment horizontal="right" vertical="center" wrapText="1"/>
    </xf>
    <xf numFmtId="2" fontId="13" fillId="0" borderId="6" xfId="0" applyNumberFormat="1" applyFont="1" applyBorder="1" applyAlignment="1">
      <alignment horizontal="right" vertical="center" wrapText="1"/>
    </xf>
    <xf numFmtId="9" fontId="16" fillId="3" borderId="22" xfId="0" applyNumberFormat="1" applyFont="1" applyFill="1" applyBorder="1" applyAlignment="1">
      <alignment horizontal="center" vertical="center" wrapText="1"/>
    </xf>
    <xf numFmtId="9" fontId="16" fillId="3" borderId="2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185733</xdr:colOff>
      <xdr:row>16</xdr:row>
      <xdr:rowOff>34027</xdr:rowOff>
    </xdr:from>
    <xdr:ext cx="722462" cy="316303"/>
    <xdr:sp macro="" textlink="">
      <xdr:nvSpPr>
        <xdr:cNvPr id="1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A755CAEA-0AAF-4881-9C54-21C69BCEF888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273912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16</xdr:row>
      <xdr:rowOff>34027</xdr:rowOff>
    </xdr:from>
    <xdr:ext cx="722462" cy="316303"/>
    <xdr:sp macro="" textlink="">
      <xdr:nvSpPr>
        <xdr:cNvPr id="1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B5C6E34C-9CFB-4D19-896D-CA01F8AF2A9A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273912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17</xdr:row>
      <xdr:rowOff>34027</xdr:rowOff>
    </xdr:from>
    <xdr:ext cx="722462" cy="316303"/>
    <xdr:sp macro="" textlink="">
      <xdr:nvSpPr>
        <xdr:cNvPr id="1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632D6AB9-EF6A-4C82-A581-E7BB96D90852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273912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17</xdr:row>
      <xdr:rowOff>34027</xdr:rowOff>
    </xdr:from>
    <xdr:ext cx="722462" cy="316303"/>
    <xdr:sp macro="" textlink="">
      <xdr:nvSpPr>
        <xdr:cNvPr id="1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82A8DA0B-C412-4986-BA9B-3366FA5EA62B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273912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19</xdr:row>
      <xdr:rowOff>0</xdr:rowOff>
    </xdr:from>
    <xdr:ext cx="722462" cy="316303"/>
    <xdr:sp macro="" textlink="">
      <xdr:nvSpPr>
        <xdr:cNvPr id="1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8E685BEA-3822-46C5-AEE8-0657E4FAE7C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310488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19</xdr:row>
      <xdr:rowOff>0</xdr:rowOff>
    </xdr:from>
    <xdr:ext cx="722462" cy="316303"/>
    <xdr:sp macro="" textlink="">
      <xdr:nvSpPr>
        <xdr:cNvPr id="1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CB06A786-8A77-46AC-9AFA-AE0704BFD761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273912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19</xdr:row>
      <xdr:rowOff>0</xdr:rowOff>
    </xdr:from>
    <xdr:ext cx="722462" cy="316303"/>
    <xdr:sp macro="" textlink="">
      <xdr:nvSpPr>
        <xdr:cNvPr id="1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8DDAACC-1B13-473B-8F6A-40AA297E223D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273912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19</xdr:row>
      <xdr:rowOff>34027</xdr:rowOff>
    </xdr:from>
    <xdr:ext cx="722462" cy="316303"/>
    <xdr:sp macro="" textlink="">
      <xdr:nvSpPr>
        <xdr:cNvPr id="2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B94DBBDF-2AA8-4BA3-A902-CE281C8E201C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273912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19</xdr:row>
      <xdr:rowOff>34027</xdr:rowOff>
    </xdr:from>
    <xdr:ext cx="722462" cy="316303"/>
    <xdr:sp macro="" textlink="">
      <xdr:nvSpPr>
        <xdr:cNvPr id="2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EB24B10E-A04D-4F92-BD25-EB20BDB9195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273912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193353</xdr:colOff>
      <xdr:row>29</xdr:row>
      <xdr:rowOff>110227</xdr:rowOff>
    </xdr:from>
    <xdr:ext cx="722462" cy="316303"/>
    <xdr:sp macro="" textlink="">
      <xdr:nvSpPr>
        <xdr:cNvPr id="3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684E9AD5-6035-4CC3-AD4B-AF937EF16D91}"/>
            </a:ext>
          </a:extLst>
        </xdr:cNvPr>
        <xdr:cNvSpPr>
          <a:spLocks noChangeAspect="1" noChangeArrowheads="1"/>
        </xdr:cNvSpPr>
      </xdr:nvSpPr>
      <xdr:spPr bwMode="auto">
        <a:xfrm flipV="1">
          <a:off x="193353" y="72044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25</xdr:row>
      <xdr:rowOff>34027</xdr:rowOff>
    </xdr:from>
    <xdr:ext cx="722462" cy="316303"/>
    <xdr:sp macro="" textlink="">
      <xdr:nvSpPr>
        <xdr:cNvPr id="3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24445038-E677-4B5F-8B0B-03ED88AA8977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310488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25</xdr:row>
      <xdr:rowOff>34027</xdr:rowOff>
    </xdr:from>
    <xdr:ext cx="722462" cy="316303"/>
    <xdr:sp macro="" textlink="">
      <xdr:nvSpPr>
        <xdr:cNvPr id="3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6F75CEB2-6500-4161-AE8C-351828E4E19D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25</xdr:row>
      <xdr:rowOff>34027</xdr:rowOff>
    </xdr:from>
    <xdr:ext cx="722462" cy="316303"/>
    <xdr:sp macro="" textlink="">
      <xdr:nvSpPr>
        <xdr:cNvPr id="3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B57FF28B-5ACC-41ED-B187-6DE13041FF88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34027</xdr:rowOff>
    </xdr:from>
    <xdr:ext cx="722462" cy="316303"/>
    <xdr:sp macro="" textlink="">
      <xdr:nvSpPr>
        <xdr:cNvPr id="4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EB1CE0F-66D9-457B-8443-07576497600E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34027</xdr:rowOff>
    </xdr:from>
    <xdr:ext cx="722462" cy="316303"/>
    <xdr:sp macro="" textlink="">
      <xdr:nvSpPr>
        <xdr:cNvPr id="4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1E44F833-502C-4DD5-A478-487F27A841E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34027</xdr:rowOff>
    </xdr:from>
    <xdr:ext cx="722462" cy="316303"/>
    <xdr:sp macro="" textlink="">
      <xdr:nvSpPr>
        <xdr:cNvPr id="4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8C398AE0-6216-4AA1-848D-EB8B20226E7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4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E2677279-DA5F-4A97-AA24-091F7E8F1968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4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39143106-6AED-4C1D-9B74-B70A2F288126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5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A4E9979-9251-47D0-B10D-78B1E65FC508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5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EDA750B-6B4D-4AB2-A7EA-161B33D2DC73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5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C41C12D-898D-41C1-8E90-D10C63667952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5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31C33AF8-E421-41EB-98BD-DC5BBAE65E0F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5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4FD9ABC-B01B-4AC1-BF13-919C227F95FC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5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BF84BB37-5559-48D6-933B-76B98AE1586B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5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A23786A-E603-4ADE-8859-B983E9661E9C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5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839C360E-CBC5-4E4F-B480-BF1966F8F2FC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5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32F8E324-C3C8-4AAA-990D-C1ADC3C58B5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5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2C3AA2F6-E6E6-439A-A05B-46303A8D8F78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6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2180C0B8-C4AF-4085-842A-5E20DC1AA068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6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9A73FB0A-A95A-4B50-857E-E6A2587EC93B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6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80A9E1B-4977-40C3-B979-F5C9A575A15B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6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9DDA6B99-8A53-4CD0-A0D9-C44C6C779D9A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31</xdr:row>
      <xdr:rowOff>34027</xdr:rowOff>
    </xdr:from>
    <xdr:ext cx="722462" cy="316303"/>
    <xdr:sp macro="" textlink="">
      <xdr:nvSpPr>
        <xdr:cNvPr id="6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33D49176-2B05-4777-92BF-60CE389A9A01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31</xdr:row>
      <xdr:rowOff>34027</xdr:rowOff>
    </xdr:from>
    <xdr:ext cx="722462" cy="316303"/>
    <xdr:sp macro="" textlink="">
      <xdr:nvSpPr>
        <xdr:cNvPr id="6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193134E-576D-4CDA-958C-E03815A9FF72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31</xdr:row>
      <xdr:rowOff>34027</xdr:rowOff>
    </xdr:from>
    <xdr:ext cx="722462" cy="316303"/>
    <xdr:sp macro="" textlink="">
      <xdr:nvSpPr>
        <xdr:cNvPr id="6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A35699C0-1FF5-4DC4-9F56-6B900A4CA44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31</xdr:row>
      <xdr:rowOff>34027</xdr:rowOff>
    </xdr:from>
    <xdr:ext cx="722462" cy="316303"/>
    <xdr:sp macro="" textlink="">
      <xdr:nvSpPr>
        <xdr:cNvPr id="6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E9E76B5A-5884-4945-AD29-80EE2BE19C48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32</xdr:row>
      <xdr:rowOff>0</xdr:rowOff>
    </xdr:from>
    <xdr:ext cx="722462" cy="316303"/>
    <xdr:sp macro="" textlink="">
      <xdr:nvSpPr>
        <xdr:cNvPr id="6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866F24E1-0C2B-4D3F-995F-C7F79D41C0F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32</xdr:row>
      <xdr:rowOff>0</xdr:rowOff>
    </xdr:from>
    <xdr:ext cx="722462" cy="316303"/>
    <xdr:sp macro="" textlink="">
      <xdr:nvSpPr>
        <xdr:cNvPr id="7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E1A5BC1-4218-4F79-8570-58BA64E5E7C8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32</xdr:row>
      <xdr:rowOff>0</xdr:rowOff>
    </xdr:from>
    <xdr:ext cx="722462" cy="316303"/>
    <xdr:sp macro="" textlink="">
      <xdr:nvSpPr>
        <xdr:cNvPr id="7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D77BF60-2619-4C06-A004-EF07734B2751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32</xdr:row>
      <xdr:rowOff>0</xdr:rowOff>
    </xdr:from>
    <xdr:ext cx="722462" cy="316303"/>
    <xdr:sp macro="" textlink="">
      <xdr:nvSpPr>
        <xdr:cNvPr id="7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A65B88D-5CAD-4AB4-9E59-837C1FC5966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32</xdr:row>
      <xdr:rowOff>0</xdr:rowOff>
    </xdr:from>
    <xdr:ext cx="722462" cy="316303"/>
    <xdr:sp macro="" textlink="">
      <xdr:nvSpPr>
        <xdr:cNvPr id="7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C7DB69A-5154-4973-AEC9-6C30B335110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32</xdr:row>
      <xdr:rowOff>0</xdr:rowOff>
    </xdr:from>
    <xdr:ext cx="722462" cy="316303"/>
    <xdr:sp macro="" textlink="">
      <xdr:nvSpPr>
        <xdr:cNvPr id="7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4FD18282-6029-4722-8D15-90338CEBC701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32</xdr:row>
      <xdr:rowOff>0</xdr:rowOff>
    </xdr:from>
    <xdr:ext cx="722462" cy="316303"/>
    <xdr:sp macro="" textlink="">
      <xdr:nvSpPr>
        <xdr:cNvPr id="7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362C868E-0407-413C-86B3-7152396ECD9A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32</xdr:row>
      <xdr:rowOff>0</xdr:rowOff>
    </xdr:from>
    <xdr:ext cx="722462" cy="316303"/>
    <xdr:sp macro="" textlink="">
      <xdr:nvSpPr>
        <xdr:cNvPr id="7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E3AC2D5C-37D4-4D9C-9BAE-0280628C467B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32</xdr:row>
      <xdr:rowOff>0</xdr:rowOff>
    </xdr:from>
    <xdr:ext cx="722462" cy="316303"/>
    <xdr:sp macro="" textlink="">
      <xdr:nvSpPr>
        <xdr:cNvPr id="7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130168EB-31D2-4BCD-A03E-E89AA97AECE4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32</xdr:row>
      <xdr:rowOff>0</xdr:rowOff>
    </xdr:from>
    <xdr:ext cx="722462" cy="316303"/>
    <xdr:sp macro="" textlink="">
      <xdr:nvSpPr>
        <xdr:cNvPr id="7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97C850D-036E-4DF8-8D84-3A3CAFFC0541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178113</xdr:colOff>
      <xdr:row>26</xdr:row>
      <xdr:rowOff>0</xdr:rowOff>
    </xdr:from>
    <xdr:ext cx="722462" cy="316303"/>
    <xdr:sp macro="" textlink="">
      <xdr:nvSpPr>
        <xdr:cNvPr id="7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316B1768-37F2-406F-9DC1-57AA5FDA6138}"/>
            </a:ext>
          </a:extLst>
        </xdr:cNvPr>
        <xdr:cNvSpPr>
          <a:spLocks noChangeAspect="1" noChangeArrowheads="1"/>
        </xdr:cNvSpPr>
      </xdr:nvSpPr>
      <xdr:spPr bwMode="auto">
        <a:xfrm flipV="1">
          <a:off x="178113" y="62900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24</xdr:row>
      <xdr:rowOff>34027</xdr:rowOff>
    </xdr:from>
    <xdr:ext cx="722462" cy="316303"/>
    <xdr:sp macro="" textlink="">
      <xdr:nvSpPr>
        <xdr:cNvPr id="8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445374A1-913A-4F17-9F70-ABB7209564BD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566520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24</xdr:row>
      <xdr:rowOff>34027</xdr:rowOff>
    </xdr:from>
    <xdr:ext cx="722462" cy="316303"/>
    <xdr:sp macro="" textlink="">
      <xdr:nvSpPr>
        <xdr:cNvPr id="8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3D6E38E-5113-4A8C-95B8-A66F91E80AF6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566520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8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9732EEF3-96F4-443F-A609-11BA83DD0C5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8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9772DE28-537B-4A3C-8285-1DA5EB5A8A45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8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EC301661-645C-4C8E-93D4-F48A6FD6B2C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8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9A0FD535-3279-418D-A6F0-D793731E5C71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25</xdr:row>
      <xdr:rowOff>34027</xdr:rowOff>
    </xdr:from>
    <xdr:ext cx="722462" cy="316303"/>
    <xdr:sp macro="" textlink="">
      <xdr:nvSpPr>
        <xdr:cNvPr id="8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B5C0EF4C-089B-4E8C-B908-1678ADB97FD8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584808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25</xdr:row>
      <xdr:rowOff>34027</xdr:rowOff>
    </xdr:from>
    <xdr:ext cx="722462" cy="316303"/>
    <xdr:sp macro="" textlink="">
      <xdr:nvSpPr>
        <xdr:cNvPr id="8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15A584D9-535F-465E-AC71-8EC74A1E82DB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584808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25</xdr:row>
      <xdr:rowOff>34027</xdr:rowOff>
    </xdr:from>
    <xdr:ext cx="722462" cy="316303"/>
    <xdr:sp macro="" textlink="">
      <xdr:nvSpPr>
        <xdr:cNvPr id="8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4F0176A-184A-476E-9A4E-505DE614955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584808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25</xdr:row>
      <xdr:rowOff>34027</xdr:rowOff>
    </xdr:from>
    <xdr:ext cx="722462" cy="316303"/>
    <xdr:sp macro="" textlink="">
      <xdr:nvSpPr>
        <xdr:cNvPr id="9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379D6C7-154B-490A-B5A3-054A49EDCF12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25</xdr:row>
      <xdr:rowOff>34027</xdr:rowOff>
    </xdr:from>
    <xdr:ext cx="722462" cy="316303"/>
    <xdr:sp macro="" textlink="">
      <xdr:nvSpPr>
        <xdr:cNvPr id="9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C7DE9D3-0EA5-47A6-8152-65F8DF486ACD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25</xdr:row>
      <xdr:rowOff>34027</xdr:rowOff>
    </xdr:from>
    <xdr:ext cx="722462" cy="316303"/>
    <xdr:sp macro="" textlink="">
      <xdr:nvSpPr>
        <xdr:cNvPr id="9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16D0216-3AD3-42E3-AABE-74BD284BC76C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25</xdr:row>
      <xdr:rowOff>34027</xdr:rowOff>
    </xdr:from>
    <xdr:ext cx="722462" cy="316303"/>
    <xdr:sp macro="" textlink="">
      <xdr:nvSpPr>
        <xdr:cNvPr id="9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18502F9B-07F2-4E25-B463-F677A1AAEBC3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9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CE5E1774-6468-47DF-B69F-1C4C810E5A5D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9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8C52B00-B93B-44AF-8423-7BD204733CBC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9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345CD0D8-829A-4D42-86AA-462E8F00121C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9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9B9F4766-8424-4D59-B2F2-D15580D794FE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9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9724FE13-3657-4D4F-8BAA-6AA4FDA630A6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9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6F242840-F9E7-452F-8D3C-7F00DA01EE4F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10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42C59E51-7E70-41A9-98B3-3507592C0A87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10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44C8B6FB-C682-4277-96FB-5B7143FDF0F7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25</xdr:row>
      <xdr:rowOff>34027</xdr:rowOff>
    </xdr:from>
    <xdr:ext cx="722462" cy="316303"/>
    <xdr:sp macro="" textlink="">
      <xdr:nvSpPr>
        <xdr:cNvPr id="10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4589A7AE-7133-4A49-BBD2-2CDAAB35B604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25</xdr:row>
      <xdr:rowOff>34027</xdr:rowOff>
    </xdr:from>
    <xdr:ext cx="722462" cy="316303"/>
    <xdr:sp macro="" textlink="">
      <xdr:nvSpPr>
        <xdr:cNvPr id="10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68BD3A7A-C9A1-4E8F-A7EF-5F90014ECA94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25</xdr:row>
      <xdr:rowOff>34027</xdr:rowOff>
    </xdr:from>
    <xdr:ext cx="722462" cy="316303"/>
    <xdr:sp macro="" textlink="">
      <xdr:nvSpPr>
        <xdr:cNvPr id="10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C589BEA8-84E4-44A9-A02C-4435E10FB014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10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BB4FC1AE-E458-416D-B2E4-48015E23E36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10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AE4D228B-5B73-46BC-806B-EE0B2066F523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10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EEECCA6-B8B2-4370-B90B-3D00A3F88D1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10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A646E6B4-1203-42D5-A5E4-901D11D9D2EA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10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92527700-6A95-4A95-A96E-575E5070B226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11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C46B69AD-CFC3-47E7-BF01-BA90A564455B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11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ADD2E61-AA57-49D8-9D99-497F4FA152BA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11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2196FDAC-691B-4D69-B1F9-B0B5DEE77FAD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11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181109CE-ED4E-4988-9D26-0E02B6FC0967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11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CCE3397-7C37-42C3-B7C2-B57E2644D72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11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4ED6E324-A47D-4D91-8E5D-4FC0BFC9520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11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EDCA051F-325F-4FAF-9CAA-D542C8CAD10B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11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2B180643-1AE8-48DE-BC37-D06F628AFC18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11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101C2C9E-A77E-4A88-B4D3-E5C1CFA243F5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11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ED90078B-18D6-4F1F-804A-605ECBB6B67E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12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6016FABC-AF11-4EC8-9DDF-89F0E57BEA2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12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235B7146-4221-47BC-89E9-A957C8B31F0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12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E529AADB-A7FB-4279-ABFF-BA9FA93B39FE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12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4E593EEC-A55B-4CB3-82AC-459F22538E8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12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E5FC910B-241F-46F6-9451-E5699BBCC1CB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12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3F1DF9CA-D846-433A-BBE2-0C6DBB6ECC13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12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76C2047-3C13-42B3-8350-DB054FE14412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12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9633F161-0834-4FEB-A88D-CEC1007BA562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12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0345659-AC76-4470-81CE-DB471E09DDBB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12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281F478-A65E-47F6-8ED0-1BD299E90BE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13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CB4C53B-8433-4C94-9519-A2B120BB097C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13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A61E2A77-D706-40C8-BB8E-87DF9486DE5C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13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C3DA9AA-1895-46FA-A7FE-9F8B66F3A252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13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26BC2612-7374-4AF7-A81F-F5CBFBDDF183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13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EF1C36AE-7289-4676-9EE0-FC6D9B0251D5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13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19465BA-C9D5-49EE-A371-5496FF416E7B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13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2EB2B636-A220-4256-88F2-268BB6E1D58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13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6E712941-D3D0-4797-AF19-33719FDDFD57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13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120B27E-A438-4F38-8C7A-1D41ACA3CEE6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34027</xdr:rowOff>
    </xdr:from>
    <xdr:ext cx="722462" cy="316303"/>
    <xdr:sp macro="" textlink="">
      <xdr:nvSpPr>
        <xdr:cNvPr id="13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6C65D950-97A7-4AC3-B704-9510EE990AFC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34027</xdr:rowOff>
    </xdr:from>
    <xdr:ext cx="722462" cy="316303"/>
    <xdr:sp macro="" textlink="">
      <xdr:nvSpPr>
        <xdr:cNvPr id="14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DEAC8D2-9331-4AFA-BA63-BF68CD413DFD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34027</xdr:rowOff>
    </xdr:from>
    <xdr:ext cx="722462" cy="316303"/>
    <xdr:sp macro="" textlink="">
      <xdr:nvSpPr>
        <xdr:cNvPr id="14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B541080-6C6F-4CB9-B47D-A517C82C7FDA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34027</xdr:rowOff>
    </xdr:from>
    <xdr:ext cx="722462" cy="316303"/>
    <xdr:sp macro="" textlink="">
      <xdr:nvSpPr>
        <xdr:cNvPr id="14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C15CCA4-352D-4FD9-9A3B-DA2783F3316B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34027</xdr:rowOff>
    </xdr:from>
    <xdr:ext cx="722462" cy="316303"/>
    <xdr:sp macro="" textlink="">
      <xdr:nvSpPr>
        <xdr:cNvPr id="14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69413AD7-C26E-409C-A927-6BDBE78E19D2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34027</xdr:rowOff>
    </xdr:from>
    <xdr:ext cx="722462" cy="316303"/>
    <xdr:sp macro="" textlink="">
      <xdr:nvSpPr>
        <xdr:cNvPr id="14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8D137BC-A12E-498A-882A-F7FAAD69DADE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34027</xdr:rowOff>
    </xdr:from>
    <xdr:ext cx="722462" cy="316303"/>
    <xdr:sp macro="" textlink="">
      <xdr:nvSpPr>
        <xdr:cNvPr id="14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67EABE61-7248-4DF9-91F6-B449EA52CEAF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34027</xdr:rowOff>
    </xdr:from>
    <xdr:ext cx="722462" cy="316303"/>
    <xdr:sp macro="" textlink="">
      <xdr:nvSpPr>
        <xdr:cNvPr id="14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BDD5A77-C496-4CD7-A113-B78B1E16C6E3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14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B928D65-1400-40D0-AAEC-886D659167C7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14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16F2487-971D-4E0A-A83D-5F9E8E1E576B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14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4797246A-1033-40BC-8074-391190DB95BC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15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1352A5BC-2278-45DE-B425-1FC9A86DC4EF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15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A745959F-D19F-43AC-9B1E-69FFF8B0A70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15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CC03F9A2-8E65-4D85-88AD-6E83A1EB256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15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4A04A058-2D6F-4481-8AE5-15650529133A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34027</xdr:rowOff>
    </xdr:from>
    <xdr:ext cx="722462" cy="316303"/>
    <xdr:sp macro="" textlink="">
      <xdr:nvSpPr>
        <xdr:cNvPr id="15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F41005E-5114-4954-B069-3E1C223770E1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34027</xdr:rowOff>
    </xdr:from>
    <xdr:ext cx="722462" cy="316303"/>
    <xdr:sp macro="" textlink="">
      <xdr:nvSpPr>
        <xdr:cNvPr id="15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68EB9EB5-2ED6-4730-A4B1-C8FDB4C05D2A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34027</xdr:rowOff>
    </xdr:from>
    <xdr:ext cx="722462" cy="316303"/>
    <xdr:sp macro="" textlink="">
      <xdr:nvSpPr>
        <xdr:cNvPr id="15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76E675E-7DA4-453D-96D8-62DE0D9097EC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34027</xdr:rowOff>
    </xdr:from>
    <xdr:ext cx="722462" cy="316303"/>
    <xdr:sp macro="" textlink="">
      <xdr:nvSpPr>
        <xdr:cNvPr id="15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C2B8325D-5938-4D0E-93D3-D044D252505F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34027</xdr:rowOff>
    </xdr:from>
    <xdr:ext cx="722462" cy="316303"/>
    <xdr:sp macro="" textlink="">
      <xdr:nvSpPr>
        <xdr:cNvPr id="15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E710AB82-C9B6-4178-8377-5AB99BD50F67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34027</xdr:rowOff>
    </xdr:from>
    <xdr:ext cx="722462" cy="316303"/>
    <xdr:sp macro="" textlink="">
      <xdr:nvSpPr>
        <xdr:cNvPr id="15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03662D9-C223-429D-852D-6C50E574F833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34027</xdr:rowOff>
    </xdr:from>
    <xdr:ext cx="722462" cy="316303"/>
    <xdr:sp macro="" textlink="">
      <xdr:nvSpPr>
        <xdr:cNvPr id="16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8F1B2978-0D05-4806-B910-840ABF30F5B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34027</xdr:rowOff>
    </xdr:from>
    <xdr:ext cx="722462" cy="316303"/>
    <xdr:sp macro="" textlink="">
      <xdr:nvSpPr>
        <xdr:cNvPr id="16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4F0859B5-4AA2-4810-A779-2917B72A6C0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16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06EE68B-8603-4D6A-BCE5-0CF8D62CD39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16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AFDB9F5E-EBC0-4EEC-B21F-D61D3B4967C4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0</xdr:rowOff>
    </xdr:from>
    <xdr:ext cx="722462" cy="316303"/>
    <xdr:sp macro="" textlink="">
      <xdr:nvSpPr>
        <xdr:cNvPr id="16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E4D3CF8-CAC2-4CE2-A568-921BF36D555C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34027</xdr:rowOff>
    </xdr:from>
    <xdr:ext cx="722462" cy="316303"/>
    <xdr:sp macro="" textlink="">
      <xdr:nvSpPr>
        <xdr:cNvPr id="16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2CD82F2-CF30-4C1B-847C-4DB30FB6B107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34027</xdr:rowOff>
    </xdr:from>
    <xdr:ext cx="722462" cy="316303"/>
    <xdr:sp macro="" textlink="">
      <xdr:nvSpPr>
        <xdr:cNvPr id="16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0EDA78B-D7B0-41D9-A685-800C826A647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34027</xdr:rowOff>
    </xdr:from>
    <xdr:ext cx="722462" cy="316303"/>
    <xdr:sp macro="" textlink="">
      <xdr:nvSpPr>
        <xdr:cNvPr id="16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ECDD0BC7-C76C-413A-A9D4-ADD59BC4120D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34027</xdr:rowOff>
    </xdr:from>
    <xdr:ext cx="722462" cy="316303"/>
    <xdr:sp macro="" textlink="">
      <xdr:nvSpPr>
        <xdr:cNvPr id="16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23A107CD-F790-4D18-980F-D140A82D817B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34027</xdr:rowOff>
    </xdr:from>
    <xdr:ext cx="722462" cy="316303"/>
    <xdr:sp macro="" textlink="">
      <xdr:nvSpPr>
        <xdr:cNvPr id="16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976EB62-4BE0-471D-900C-7365C71FEEA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34027</xdr:rowOff>
    </xdr:from>
    <xdr:ext cx="722462" cy="316303"/>
    <xdr:sp macro="" textlink="">
      <xdr:nvSpPr>
        <xdr:cNvPr id="17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B8C37FD-BAB1-4733-AEED-5A535D17B60F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34027</xdr:rowOff>
    </xdr:from>
    <xdr:ext cx="722462" cy="316303"/>
    <xdr:sp macro="" textlink="">
      <xdr:nvSpPr>
        <xdr:cNvPr id="17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465F764E-AB5C-4EB5-B555-C6FDC4EA7418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34027</xdr:rowOff>
    </xdr:from>
    <xdr:ext cx="722462" cy="316303"/>
    <xdr:sp macro="" textlink="">
      <xdr:nvSpPr>
        <xdr:cNvPr id="17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D414E65-EA42-4BC6-8CFF-559F4F9F86B5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34027</xdr:rowOff>
    </xdr:from>
    <xdr:ext cx="722462" cy="316303"/>
    <xdr:sp macro="" textlink="">
      <xdr:nvSpPr>
        <xdr:cNvPr id="17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A203DCD7-FC20-402D-AE78-09122A3FB3B5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34027</xdr:rowOff>
    </xdr:from>
    <xdr:ext cx="722462" cy="316303"/>
    <xdr:sp macro="" textlink="">
      <xdr:nvSpPr>
        <xdr:cNvPr id="17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42E8EA53-CCE5-4C4C-A61F-3586E75385B1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34027</xdr:rowOff>
    </xdr:from>
    <xdr:ext cx="722462" cy="316303"/>
    <xdr:sp macro="" textlink="">
      <xdr:nvSpPr>
        <xdr:cNvPr id="17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E86A5282-4132-4532-9BA5-B842109757BC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34027</xdr:rowOff>
    </xdr:from>
    <xdr:ext cx="722462" cy="316303"/>
    <xdr:sp macro="" textlink="">
      <xdr:nvSpPr>
        <xdr:cNvPr id="17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9DDCE4AD-8B22-4C30-B413-739F37344FF5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34027</xdr:rowOff>
    </xdr:from>
    <xdr:ext cx="722462" cy="316303"/>
    <xdr:sp macro="" textlink="">
      <xdr:nvSpPr>
        <xdr:cNvPr id="17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37058044-DA8C-4C55-808E-967D5EA9161A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34027</xdr:rowOff>
    </xdr:from>
    <xdr:ext cx="722462" cy="316303"/>
    <xdr:sp macro="" textlink="">
      <xdr:nvSpPr>
        <xdr:cNvPr id="17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C0136472-3072-451F-9E8B-C3F82DF08F2C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34027</xdr:rowOff>
    </xdr:from>
    <xdr:ext cx="722462" cy="316303"/>
    <xdr:sp macro="" textlink="">
      <xdr:nvSpPr>
        <xdr:cNvPr id="17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45B9BA2B-EB22-4416-A54B-0C8B341E33D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34027</xdr:rowOff>
    </xdr:from>
    <xdr:ext cx="722462" cy="316303"/>
    <xdr:sp macro="" textlink="">
      <xdr:nvSpPr>
        <xdr:cNvPr id="18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EC9214AD-C15B-479F-824D-CF408DE98BE7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34027</xdr:rowOff>
    </xdr:from>
    <xdr:ext cx="722462" cy="316303"/>
    <xdr:sp macro="" textlink="">
      <xdr:nvSpPr>
        <xdr:cNvPr id="18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9452D21-F77D-40D4-8390-4EC97816C875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34027</xdr:rowOff>
    </xdr:from>
    <xdr:ext cx="722462" cy="316303"/>
    <xdr:sp macro="" textlink="">
      <xdr:nvSpPr>
        <xdr:cNvPr id="18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7479B80-466C-414E-8D34-343FC0A34A04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18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B1E86527-44CB-42CE-8F1D-63CDCB0F1293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18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B14DFDA-B252-447C-8518-B097101293AA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18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76F92DA-EC1F-49CB-9CD2-C1D9C21F203B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18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C49A922E-D087-4C3D-A425-764DB6FDF0AF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18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679C73E2-CC4F-4CEB-AB22-7D3191935073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18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B9891D7-904F-4AE6-962B-1A875B94884F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18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21B500B2-8858-4294-BF3A-4122B0E3A34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19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E2C1746F-C4FC-4B03-89DD-D122EEC2DCA1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34027</xdr:rowOff>
    </xdr:from>
    <xdr:ext cx="722462" cy="316303"/>
    <xdr:sp macro="" textlink="">
      <xdr:nvSpPr>
        <xdr:cNvPr id="19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360DC945-4062-4A97-85DE-10579F25199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34027</xdr:rowOff>
    </xdr:from>
    <xdr:ext cx="722462" cy="316303"/>
    <xdr:sp macro="" textlink="">
      <xdr:nvSpPr>
        <xdr:cNvPr id="19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C7E2F198-30B9-47C4-BBA4-A8793F0BDA77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34027</xdr:rowOff>
    </xdr:from>
    <xdr:ext cx="722462" cy="316303"/>
    <xdr:sp macro="" textlink="">
      <xdr:nvSpPr>
        <xdr:cNvPr id="19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44F20323-B9F5-4FE2-96DE-6271E1CDF5AB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34027</xdr:rowOff>
    </xdr:from>
    <xdr:ext cx="722462" cy="316303"/>
    <xdr:sp macro="" textlink="">
      <xdr:nvSpPr>
        <xdr:cNvPr id="19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9BFACFD9-FD8C-464E-BC5D-2825EC2CE7AE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34027</xdr:rowOff>
    </xdr:from>
    <xdr:ext cx="722462" cy="316303"/>
    <xdr:sp macro="" textlink="">
      <xdr:nvSpPr>
        <xdr:cNvPr id="19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3E6E4DB-3AE7-40F9-93D1-BEAD21D51FDE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34027</xdr:rowOff>
    </xdr:from>
    <xdr:ext cx="722462" cy="316303"/>
    <xdr:sp macro="" textlink="">
      <xdr:nvSpPr>
        <xdr:cNvPr id="19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6E8710A3-71B0-4878-9583-0B2D046E493F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34027</xdr:rowOff>
    </xdr:from>
    <xdr:ext cx="722462" cy="316303"/>
    <xdr:sp macro="" textlink="">
      <xdr:nvSpPr>
        <xdr:cNvPr id="19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8424D699-EE77-484B-B69B-67DB36A91223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19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91A47B5E-64CD-4D7A-BF52-8A400BA8F11B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19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BC14CF9C-0AD5-47A1-9682-ADFF5C18C3C6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0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4E8C145-BA92-41BE-B8DC-42DA1B241DA4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0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1952BF9-AD7C-4BB4-9A41-CE5C63AD9E22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0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96CB874-B318-4D0F-9C64-A8AF8F11410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0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59B490D-0573-4BF3-8A82-6C8F5AE5D162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0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46D34950-A64B-4747-9E4E-809B557F36A1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0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A02B549-0D30-4A94-8F7B-98791926435F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34027</xdr:rowOff>
    </xdr:from>
    <xdr:ext cx="722462" cy="316303"/>
    <xdr:sp macro="" textlink="">
      <xdr:nvSpPr>
        <xdr:cNvPr id="20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E74DC901-745F-4CAD-9EE0-8FC8601210EE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34027</xdr:rowOff>
    </xdr:from>
    <xdr:ext cx="722462" cy="316303"/>
    <xdr:sp macro="" textlink="">
      <xdr:nvSpPr>
        <xdr:cNvPr id="20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A3457270-F7AA-430F-856F-A4120E1AB8E6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26</xdr:row>
      <xdr:rowOff>34027</xdr:rowOff>
    </xdr:from>
    <xdr:ext cx="722462" cy="316303"/>
    <xdr:sp macro="" textlink="">
      <xdr:nvSpPr>
        <xdr:cNvPr id="20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1B8BE308-1447-41F7-AFE1-52A900C23495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0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AA8A67C3-4589-4E54-8071-CCB7886A6934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1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A692EBDC-175F-477F-BA48-5E84CC110387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1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1E7A35B8-68CE-448C-A971-8B4B8C18071B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1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7CEC9FA-A0C8-4981-94FA-B36B780D8404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1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B6580019-4A4C-4148-9223-E527EE009CF1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1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C8C40215-8EA0-438B-A68D-77733B2038EF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1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822BABBE-C707-4456-84E1-465AA1235954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1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E1B59B0C-A94B-44A1-A0EB-FE8AF29FFFED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1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40E09BC3-EDE9-48BB-BBDA-3FE10A031608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1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CAEAAFB4-C5D9-49E4-BF14-30A4BD9A106A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1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406B8F6-7629-407C-8610-98AC2A468FC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2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B4773CCF-F9A5-4815-BA97-7B70AE442DE5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2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EA8F36BD-4004-4F69-8C38-F131C8268A4F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2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AA3362C9-D4A2-48E5-9229-EE885B84002D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2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CE557EEA-5EA2-4AAA-9327-BB089E4F9161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2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CFB5874F-D1D0-43B3-B6D3-C86ADA2B5CB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2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CE7B6C1-00A7-4963-A3EF-0DC1A169DD45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2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14D7D89-507E-4C7C-9A7C-2A2992E8EA7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2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18F0F6EF-AA4B-482D-ADBD-F7920941B46D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2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5EC093B-4981-4650-B647-D47DC08FB21D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2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B06D649-63BD-4709-AB34-55F52CC97747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3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C8D1484-8DC6-4A70-A38A-79943D27465F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3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EE976DF-2186-4228-B051-A64055E54C02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3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485DD96-F4EC-478B-9D3F-7560C787CCF5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3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35453E1-6132-437E-9E82-69D54F22352A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3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A77EDD58-59E5-451F-90BB-A87348073252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3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F7C8FD8-2D19-4B96-8527-863CF941C0BC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3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24F813C7-0238-495F-A9C5-84A8CF2FB0F3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3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99283CD-29D4-4AD1-88B2-4A3E9AE82BF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3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398D7DF9-1D26-4B86-A634-81751AB80768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3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465F86-3EB0-447B-880A-14FD1D41F442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4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BA16710E-F057-481A-B283-FF462869C748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4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276001A-2DEE-49E1-B420-FF38575ADB9E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4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03580D0-58F7-4A15-B6D5-F465144666C4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4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91A31C2-10FC-44CE-8543-1608652713CC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4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A0865B4E-8540-4C6C-8792-CE5F8DB728B4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4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A411172-3A0D-46A5-B022-A2252EB69124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4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130DC565-E34B-4C6D-9036-A6FAC7DFF83D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4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64CE966C-1491-42F8-B91B-5831FB1AF8E2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4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2ACDD6F7-B00A-4B12-AB76-9D852B74C788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4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C22FD1B-212C-45FE-9E9B-144AC0215648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5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259C9D5B-69D5-474F-96C8-5854AC048506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5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A2ADB16-CE2F-4033-8D5D-C024DFC43E7A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27</xdr:row>
      <xdr:rowOff>34027</xdr:rowOff>
    </xdr:from>
    <xdr:ext cx="722462" cy="316303"/>
    <xdr:sp macro="" textlink="">
      <xdr:nvSpPr>
        <xdr:cNvPr id="25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C49B4A7F-C5A8-4727-8027-84EF852D85CE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5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8B1BEF7-D7B9-412B-A398-709FA149DA46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5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0FDAEA6-70B9-48DE-962E-208570755BD4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5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3D7637B-CE54-4F33-8945-7A91C8708BA5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5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C3E6D32D-8BFB-4BEF-9D43-E76922E1929A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5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11BFDAD-5E39-43D9-AAF6-1084E2915912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5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A0A7AB5-0D57-459B-BC05-14ECD801AE03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5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374EB5A-9070-4F1E-87E2-BE8A5A5EDCE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6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9BAAC0FD-4C28-4D46-A9F4-5DF88325E7BE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6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8C488B4A-A5BA-460F-9073-3D4BF88AE472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6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A8515302-FC82-4A55-A966-CAC7477100D5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6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127EC1D3-B56A-4A07-AF06-759F5850452E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6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AC35854E-1FCA-4EF5-AB47-E3E3A3950DBF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6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DED770B-3C04-48E9-B54C-F6A24B93CF0E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6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AA69C257-2F65-4525-B65A-D76683BA891B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6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87BE619A-9067-4EF3-BD42-EAD1E033E0F5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6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61637662-2B3E-427B-8CA5-8598D44F631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6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7BFF4F8-2A4E-4E0C-B459-99D0C8C8DAEC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7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C4DD232F-15DF-4C03-A411-6B77962BA6AA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27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9045BAFE-617D-40D9-8CEA-5B3446162F5B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27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5907FC6-9580-43FA-8154-0C4C8BE32065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27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96554925-C17B-4A4E-AE88-E4121A843998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27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32BCBBE-5DD2-4303-A893-8BD3B68AE014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27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63E5128B-3DFB-454D-AFD0-65E105D80BF2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27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B6FF318F-8086-4A69-A729-A9FD3C6844F1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27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BA8282D9-7037-4125-8FFD-9D8DA704904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27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83B5794F-15FD-4E4D-9A73-87A8AA727A36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7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867DD1FD-8E2F-403B-864C-DAEC8443FB6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8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81DF4C74-9909-4E45-BDE3-A1C23E0E1AB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8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8076A43-E854-4DDD-A3A3-DC4C13945B74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8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14893AF-B37E-4A55-AAAC-7E480A9D9385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8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6D1DF44A-40AD-4373-9713-97D8DA354D96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8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B37FD07D-816A-4A34-A6CE-68D36B52E696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8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858133F-DE7E-4B22-A711-A359681175C5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28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108D238-2E70-48EA-9A28-26F4D05C127A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28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118D0DC5-1F97-4A2F-934B-04C3F29E7463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28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EA392F94-BE5D-4D3E-82DE-D58B15418515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28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46A96A50-1121-43DC-B761-E54C08149687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29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712A197-C2CC-4535-85EE-C9C8031C0544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29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33EF6B3E-4855-4CE6-8F5F-7CFB316D97F2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29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1D769EB9-E341-470D-841E-B0916D8FE788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29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A53C3C02-0F2A-4EDA-9AFD-4F35C1CC114D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9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B5A648A-723A-48E1-A6E2-2525306E2851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9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C661E67-58D2-43D3-8D4D-8E977441CEA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28</xdr:row>
      <xdr:rowOff>34027</xdr:rowOff>
    </xdr:from>
    <xdr:ext cx="722462" cy="316303"/>
    <xdr:sp macro="" textlink="">
      <xdr:nvSpPr>
        <xdr:cNvPr id="29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506EB52-9EDD-4834-9C48-F20D7E503452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29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AB541F8A-D108-4D9D-B8B6-B3C482EC07DC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29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4E8C8A60-82AA-4507-9F01-16BBAFAC1E8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29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69A6F41C-9E58-4561-99F9-C046783B5F0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0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ADF12A20-E842-446F-8CF1-9A7B1910014D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0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40D18D03-54D5-4E16-8376-F7CFEC6B9EB5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0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FE41AB3-C224-43AD-B88D-4D520318124B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0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E4141D1-7AA1-4B0B-A342-167051EEB21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0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4246F2A0-8CB7-499D-8280-9E56341975EB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0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62BE32A5-CEE7-4F5B-AB53-CEE2FE8C807A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0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D2D6232-38F1-4810-9F7E-0E1DCB5B99E6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0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1B5E05B5-1B5D-4357-8B0E-6C533968039A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0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76F7119-577C-4042-8A19-446773D73884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0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40E7DEC-5DF5-4E56-8233-0E12DCD90DAE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1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C8C53CE-1034-401D-AA31-2498F1A01DCD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1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E52B4B3-BA75-4BD6-950A-BB798C5FEBC6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1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4E710D0C-5C1D-4A69-B55D-51CE2433D3D5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1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2E6A55A3-27D3-4EA2-A753-B10C58BDF60E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1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EEE43754-7D7F-4DC1-8953-858081462A06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1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C27BD56E-B0FA-4403-A867-72FF1F75AC07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1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34081DC-347E-428B-AB49-752C4CBCFEF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1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BDBE3E42-2C2C-47D3-A52D-315B17D6831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1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1B73683D-2089-4A37-909B-7CAC26BDA431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1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42F8246-7805-44EF-AB47-71837DB26F0F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2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2130AD2A-82D4-4E3D-9B1F-F8FAF3FD3C4A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2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C586DAF3-42BF-4122-B860-2BF2C9A64C3A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2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AFFFEBB-BF08-4D93-9AB6-AB00C39AFC68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2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85678092-6FFB-4FA6-B832-18166DC12BCA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2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6DECFC12-6EDC-425B-8C1E-1938CFA094E6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2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22966CE-6E5F-435E-A3F9-4B3344A8D5B4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2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9AC58E94-675F-4648-A63F-BC727A87F173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2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D8B81CE-0574-42B0-9028-EF57329D605D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2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220C98CE-FAD6-45C2-9416-5BDC803CC333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2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F1DC9E24-2643-497E-B1BE-C41F9595EABE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3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B7AC8D9-E1DE-430C-ABE0-4E80436EF7A7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3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BA12981-D074-478F-95D3-1F5B669D105E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3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77A8762-291C-459B-A241-B19ADC787348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3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E1AAA6D5-9D46-4285-A517-D76630713D9F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3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EF2624BB-885D-4F12-9A52-92C41305479F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3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DD088989-AECE-4D29-856E-08100A0C7BDD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3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BF9EB2BB-CA42-4A69-B15A-7EB6881DEB71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3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A28628A1-9EF2-4597-9CAC-0FD3B1BE488F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3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98439C1B-B561-4E96-BD38-0A4B77AD199E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3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79F515E-B4CB-4C81-AA86-5AFE3CAC4CD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29</xdr:row>
      <xdr:rowOff>34027</xdr:rowOff>
    </xdr:from>
    <xdr:ext cx="722462" cy="316303"/>
    <xdr:sp macro="" textlink="">
      <xdr:nvSpPr>
        <xdr:cNvPr id="34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B56D94F7-E72C-4C77-B741-5F7AA8F01BB4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03096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4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AE1F25A7-FE17-40CA-A6F3-EA253F88F57C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4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4551E365-9603-4CAB-94C9-E31810AF8605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4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75E8058D-A079-4FBA-90EE-3B1C12BCCFB5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4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9E56DA48-B007-4E15-8C7A-D703E7F1A1EF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4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3A8B3254-ED1E-45EA-BFF9-F85093EDE387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4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35978D68-C68E-4F6E-A995-C68BF493A798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4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0912950-54EC-4DB4-AC4F-8A9041277C6C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4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649BBA08-1E35-4079-83D2-260047E37F57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4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80D8CB3F-62EF-43BF-8347-48EE4D72850F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5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2E464FD5-53E6-4098-8A3A-77AB4E620EC8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5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0DA89888-A6B0-4DDF-9216-4B69E0D211D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5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6F238DC5-BF41-42B8-9705-E3310165A07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5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5D26100D-75BA-44E2-BB2A-DCB5D331B209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30</xdr:row>
      <xdr:rowOff>34027</xdr:rowOff>
    </xdr:from>
    <xdr:ext cx="722462" cy="316303"/>
    <xdr:sp macro="" textlink="">
      <xdr:nvSpPr>
        <xdr:cNvPr id="35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id="{4E73DA92-1F72-40BB-BD35-35BED9C8BC01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6213847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workbookViewId="0">
      <selection activeCell="J12" sqref="J12"/>
    </sheetView>
  </sheetViews>
  <sheetFormatPr defaultRowHeight="14.4"/>
  <cols>
    <col min="1" max="1" width="5.6640625" customWidth="1"/>
    <col min="2" max="2" width="44.33203125" customWidth="1"/>
    <col min="3" max="3" width="7.109375" customWidth="1"/>
    <col min="4" max="4" width="5.44140625" bestFit="1" customWidth="1"/>
    <col min="5" max="5" width="11.44140625" bestFit="1" customWidth="1"/>
    <col min="6" max="6" width="5.44140625" bestFit="1" customWidth="1"/>
    <col min="7" max="7" width="7.33203125" customWidth="1"/>
    <col min="8" max="8" width="11.33203125" customWidth="1"/>
  </cols>
  <sheetData>
    <row r="1" spans="1:8" ht="15" customHeight="1">
      <c r="A1" s="88" t="s">
        <v>18</v>
      </c>
      <c r="B1" s="88"/>
      <c r="C1" s="88"/>
      <c r="D1" s="88"/>
      <c r="E1" s="88"/>
      <c r="F1" s="88"/>
      <c r="G1" s="88"/>
      <c r="H1" s="88"/>
    </row>
    <row r="2" spans="1:8" ht="50.4" customHeight="1">
      <c r="A2" s="89" t="s">
        <v>0</v>
      </c>
      <c r="B2" s="89"/>
      <c r="C2" s="89"/>
      <c r="D2" s="89"/>
      <c r="E2" s="89"/>
      <c r="F2" s="89"/>
      <c r="G2" s="89"/>
      <c r="H2" s="89"/>
    </row>
    <row r="3" spans="1:8" ht="15" thickBot="1">
      <c r="A3" s="90" t="s">
        <v>20</v>
      </c>
      <c r="B3" s="91"/>
      <c r="C3" s="91"/>
      <c r="D3" s="91"/>
      <c r="E3" s="91"/>
      <c r="F3" s="92" t="s">
        <v>19</v>
      </c>
      <c r="G3" s="92"/>
      <c r="H3" s="92"/>
    </row>
    <row r="4" spans="1:8">
      <c r="A4" s="25"/>
      <c r="B4" s="47"/>
      <c r="C4" s="26" t="s">
        <v>1</v>
      </c>
      <c r="D4" s="26"/>
      <c r="E4" s="27">
        <v>27795</v>
      </c>
      <c r="F4" s="26"/>
      <c r="G4" s="26"/>
      <c r="H4" s="1"/>
    </row>
    <row r="5" spans="1:8" ht="17.399999999999999">
      <c r="A5" s="3" t="s">
        <v>2</v>
      </c>
      <c r="B5" s="46" t="s">
        <v>22</v>
      </c>
      <c r="C5" s="44" t="s">
        <v>3</v>
      </c>
      <c r="D5" s="4"/>
      <c r="E5" s="5" t="s">
        <v>37</v>
      </c>
      <c r="F5" s="4"/>
      <c r="G5" s="55"/>
      <c r="H5" s="2"/>
    </row>
    <row r="6" spans="1:8" ht="15" thickBot="1">
      <c r="A6" s="6"/>
      <c r="B6" s="45"/>
      <c r="C6" s="44"/>
      <c r="D6" s="7"/>
      <c r="E6" s="8" t="s">
        <v>4</v>
      </c>
      <c r="F6" s="9"/>
      <c r="G6" s="9"/>
      <c r="H6" s="10"/>
    </row>
    <row r="7" spans="1:8" ht="28.2" thickBot="1">
      <c r="A7" s="43" t="s">
        <v>5</v>
      </c>
      <c r="B7" s="53" t="s">
        <v>6</v>
      </c>
      <c r="C7" s="49" t="s">
        <v>7</v>
      </c>
      <c r="D7" s="49" t="s">
        <v>8</v>
      </c>
      <c r="E7" s="50" t="s">
        <v>9</v>
      </c>
      <c r="F7" s="51" t="s">
        <v>10</v>
      </c>
      <c r="G7" s="49" t="s">
        <v>11</v>
      </c>
      <c r="H7" s="50" t="s">
        <v>12</v>
      </c>
    </row>
    <row r="8" spans="1:8" ht="28.8">
      <c r="A8" s="63">
        <v>1</v>
      </c>
      <c r="B8" s="83" t="s">
        <v>38</v>
      </c>
      <c r="C8" s="69">
        <v>1</v>
      </c>
      <c r="D8" s="82" t="s">
        <v>29</v>
      </c>
      <c r="E8" s="70">
        <v>500000</v>
      </c>
      <c r="F8" s="81" t="s">
        <v>29</v>
      </c>
      <c r="G8" s="54">
        <v>0.18</v>
      </c>
      <c r="H8" s="62">
        <f>C8*E8</f>
        <v>500000</v>
      </c>
    </row>
    <row r="9" spans="1:8">
      <c r="A9" s="59"/>
      <c r="B9" s="84"/>
      <c r="C9" s="71"/>
      <c r="D9" s="72"/>
      <c r="E9" s="73"/>
      <c r="F9" s="72"/>
      <c r="G9" s="48"/>
      <c r="H9" s="80"/>
    </row>
    <row r="10" spans="1:8">
      <c r="A10" s="59"/>
      <c r="B10" s="61"/>
      <c r="C10" s="71"/>
      <c r="D10" s="72"/>
      <c r="E10" s="73"/>
      <c r="F10" s="72"/>
      <c r="G10" s="48"/>
      <c r="H10" s="80"/>
    </row>
    <row r="11" spans="1:8">
      <c r="A11" s="59"/>
      <c r="B11" s="61"/>
      <c r="C11" s="71"/>
      <c r="D11" s="72"/>
      <c r="E11" s="73"/>
      <c r="F11" s="72"/>
      <c r="G11" s="48"/>
      <c r="H11" s="80"/>
    </row>
    <row r="12" spans="1:8">
      <c r="A12" s="59"/>
      <c r="B12" s="64"/>
      <c r="C12" s="65"/>
      <c r="D12" s="66"/>
      <c r="E12" s="67"/>
      <c r="F12" s="66"/>
      <c r="G12" s="48"/>
      <c r="H12" s="80"/>
    </row>
    <row r="13" spans="1:8">
      <c r="A13" s="59"/>
      <c r="B13" s="68"/>
      <c r="C13" s="65"/>
      <c r="D13" s="66"/>
      <c r="E13" s="67"/>
      <c r="F13" s="66"/>
      <c r="G13" s="48"/>
      <c r="H13" s="80"/>
    </row>
    <row r="14" spans="1:8">
      <c r="A14" s="59"/>
      <c r="B14" s="64"/>
      <c r="C14" s="65"/>
      <c r="D14" s="66"/>
      <c r="E14" s="67"/>
      <c r="F14" s="66"/>
      <c r="G14" s="48"/>
      <c r="H14" s="80"/>
    </row>
    <row r="15" spans="1:8">
      <c r="A15" s="59"/>
      <c r="B15" s="68"/>
      <c r="C15" s="65"/>
      <c r="D15" s="66"/>
      <c r="E15" s="67"/>
      <c r="F15" s="66"/>
      <c r="G15" s="48"/>
      <c r="H15" s="52"/>
    </row>
    <row r="16" spans="1:8">
      <c r="A16" s="59"/>
      <c r="B16" s="64"/>
      <c r="C16" s="65"/>
      <c r="D16" s="66"/>
      <c r="E16" s="67"/>
      <c r="F16" s="66"/>
      <c r="G16" s="48"/>
      <c r="H16" s="52"/>
    </row>
    <row r="17" spans="1:8">
      <c r="A17" s="59"/>
      <c r="B17" s="64"/>
      <c r="C17" s="65"/>
      <c r="D17" s="66"/>
      <c r="E17" s="67"/>
      <c r="F17" s="66"/>
      <c r="G17" s="48"/>
      <c r="H17" s="52"/>
    </row>
    <row r="18" spans="1:8">
      <c r="A18" s="59"/>
      <c r="B18" s="64"/>
      <c r="C18" s="65"/>
      <c r="D18" s="66"/>
      <c r="E18" s="67"/>
      <c r="F18" s="66"/>
      <c r="G18" s="48"/>
      <c r="H18" s="52"/>
    </row>
    <row r="19" spans="1:8">
      <c r="A19" s="59"/>
      <c r="B19" s="64"/>
      <c r="C19" s="65"/>
      <c r="D19" s="66"/>
      <c r="E19" s="67"/>
      <c r="F19" s="66"/>
      <c r="G19" s="48"/>
      <c r="H19" s="52"/>
    </row>
    <row r="20" spans="1:8">
      <c r="A20" s="59"/>
      <c r="B20" s="64"/>
      <c r="C20" s="65"/>
      <c r="D20" s="66"/>
      <c r="E20" s="67"/>
      <c r="F20" s="66"/>
      <c r="G20" s="48"/>
      <c r="H20" s="52"/>
    </row>
    <row r="21" spans="1:8">
      <c r="A21" s="59"/>
      <c r="B21" s="64"/>
      <c r="C21" s="65"/>
      <c r="D21" s="66"/>
      <c r="E21" s="67"/>
      <c r="F21" s="66"/>
      <c r="G21" s="48"/>
      <c r="H21" s="52"/>
    </row>
    <row r="22" spans="1:8">
      <c r="A22" s="59"/>
      <c r="B22" s="64"/>
      <c r="C22" s="65"/>
      <c r="D22" s="66"/>
      <c r="E22" s="67"/>
      <c r="F22" s="66"/>
      <c r="G22" s="48"/>
      <c r="H22" s="52"/>
    </row>
    <row r="23" spans="1:8">
      <c r="A23" s="59"/>
      <c r="B23" s="57"/>
      <c r="C23" s="58"/>
      <c r="D23" s="58"/>
      <c r="E23" s="56"/>
      <c r="F23" s="58"/>
      <c r="G23" s="48"/>
      <c r="H23" s="52"/>
    </row>
    <row r="24" spans="1:8">
      <c r="A24" s="59"/>
      <c r="B24" s="57"/>
      <c r="C24" s="58"/>
      <c r="D24" s="58"/>
      <c r="E24" s="56"/>
      <c r="F24" s="58"/>
      <c r="G24" s="48"/>
      <c r="H24" s="52"/>
    </row>
    <row r="25" spans="1:8">
      <c r="A25" s="59"/>
      <c r="B25" s="57"/>
      <c r="C25" s="58"/>
      <c r="D25" s="58"/>
      <c r="E25" s="56"/>
      <c r="F25" s="58"/>
      <c r="G25" s="48"/>
      <c r="H25" s="52"/>
    </row>
    <row r="26" spans="1:8">
      <c r="A26" s="59"/>
      <c r="B26" s="57"/>
      <c r="C26" s="58"/>
      <c r="D26" s="58"/>
      <c r="E26" s="56"/>
      <c r="F26" s="58"/>
      <c r="G26" s="48"/>
      <c r="H26" s="52"/>
    </row>
    <row r="27" spans="1:8">
      <c r="A27" s="59"/>
      <c r="B27" s="57"/>
      <c r="C27" s="58"/>
      <c r="D27" s="58"/>
      <c r="E27" s="56"/>
      <c r="F27" s="58"/>
      <c r="G27" s="48"/>
      <c r="H27" s="52"/>
    </row>
    <row r="28" spans="1:8">
      <c r="A28" s="59"/>
      <c r="B28" s="57"/>
      <c r="C28" s="58"/>
      <c r="D28" s="58"/>
      <c r="E28" s="56"/>
      <c r="F28" s="58"/>
      <c r="G28" s="48"/>
      <c r="H28" s="52"/>
    </row>
    <row r="29" spans="1:8">
      <c r="A29" s="59"/>
      <c r="B29" s="57"/>
      <c r="C29" s="58"/>
      <c r="D29" s="58"/>
      <c r="E29" s="56"/>
      <c r="F29" s="58"/>
      <c r="G29" s="48"/>
      <c r="H29" s="52"/>
    </row>
    <row r="30" spans="1:8">
      <c r="A30" s="59"/>
      <c r="B30" s="57"/>
      <c r="C30" s="58"/>
      <c r="D30" s="58"/>
      <c r="E30" s="56"/>
      <c r="F30" s="58"/>
      <c r="G30" s="48"/>
      <c r="H30" s="52"/>
    </row>
    <row r="31" spans="1:8">
      <c r="A31" s="59"/>
      <c r="B31" s="57"/>
      <c r="C31" s="58"/>
      <c r="D31" s="58"/>
      <c r="E31" s="56"/>
      <c r="F31" s="58"/>
      <c r="G31" s="48"/>
      <c r="H31" s="52"/>
    </row>
    <row r="32" spans="1:8" ht="15" thickBot="1">
      <c r="A32" s="59"/>
      <c r="B32" s="57"/>
      <c r="C32" s="58"/>
      <c r="D32" s="58"/>
      <c r="E32" s="56"/>
      <c r="F32" s="58"/>
      <c r="G32" s="48"/>
      <c r="H32" s="52"/>
    </row>
    <row r="33" spans="1:8" ht="15.6">
      <c r="A33" s="33"/>
      <c r="B33" s="38" t="s">
        <v>0</v>
      </c>
      <c r="C33" s="36"/>
      <c r="D33" s="37"/>
      <c r="E33" s="23"/>
      <c r="F33" s="37"/>
      <c r="G33" s="34"/>
      <c r="H33" s="35"/>
    </row>
    <row r="34" spans="1:8" ht="15.6">
      <c r="A34" s="33"/>
      <c r="B34" s="39" t="s">
        <v>23</v>
      </c>
      <c r="C34" s="36"/>
      <c r="D34" s="37"/>
      <c r="E34" s="23"/>
      <c r="F34" s="37"/>
      <c r="G34" s="34"/>
      <c r="H34" s="35"/>
    </row>
    <row r="35" spans="1:8" ht="15.6">
      <c r="A35" s="33"/>
      <c r="B35" s="40" t="s">
        <v>24</v>
      </c>
      <c r="C35" s="36"/>
      <c r="D35" s="37"/>
      <c r="E35" s="23"/>
      <c r="F35" s="37"/>
      <c r="G35" s="34"/>
      <c r="H35" s="35"/>
    </row>
    <row r="36" spans="1:8" ht="15.6">
      <c r="A36" s="33"/>
      <c r="B36" s="41" t="s">
        <v>25</v>
      </c>
      <c r="C36" s="36"/>
      <c r="D36" s="36"/>
      <c r="E36" s="23"/>
      <c r="F36" s="36"/>
      <c r="G36" s="24"/>
      <c r="H36" s="35"/>
    </row>
    <row r="37" spans="1:8" ht="16.2" thickBot="1">
      <c r="A37" s="30"/>
      <c r="B37" s="42" t="s">
        <v>26</v>
      </c>
      <c r="C37" s="31"/>
      <c r="D37" s="31"/>
      <c r="E37" s="32"/>
      <c r="F37" s="97" t="s">
        <v>21</v>
      </c>
      <c r="G37" s="98"/>
      <c r="H37" s="29">
        <f>SUM(H8:H26)</f>
        <v>500000</v>
      </c>
    </row>
    <row r="38" spans="1:8" ht="15.6">
      <c r="A38" s="11"/>
      <c r="B38" s="12" t="s">
        <v>13</v>
      </c>
      <c r="C38" s="13"/>
      <c r="D38" s="12"/>
      <c r="E38" s="93" t="s">
        <v>14</v>
      </c>
      <c r="F38" s="93"/>
      <c r="G38" s="93"/>
      <c r="H38" s="94"/>
    </row>
    <row r="39" spans="1:8" ht="15">
      <c r="A39" s="11"/>
      <c r="B39" s="15" t="s">
        <v>15</v>
      </c>
      <c r="C39" s="13"/>
      <c r="D39" s="12"/>
      <c r="E39" s="14"/>
      <c r="F39" s="28"/>
      <c r="G39" s="13"/>
      <c r="H39" s="16"/>
    </row>
    <row r="40" spans="1:8" ht="15">
      <c r="A40" s="11"/>
      <c r="B40" s="15" t="s">
        <v>27</v>
      </c>
      <c r="C40" s="13"/>
      <c r="D40" s="12"/>
      <c r="E40" s="14"/>
      <c r="F40" s="28"/>
      <c r="G40" s="13"/>
      <c r="H40" s="16"/>
    </row>
    <row r="41" spans="1:8" ht="15">
      <c r="A41" s="11"/>
      <c r="B41" s="15" t="s">
        <v>28</v>
      </c>
      <c r="C41" s="13"/>
      <c r="D41" s="12"/>
      <c r="E41" s="14"/>
      <c r="F41" s="28"/>
      <c r="G41" s="13"/>
      <c r="H41" s="16"/>
    </row>
    <row r="42" spans="1:8" ht="15">
      <c r="A42" s="11"/>
      <c r="B42" s="15"/>
      <c r="C42" s="17"/>
      <c r="D42" s="17"/>
      <c r="E42" s="18"/>
      <c r="F42" s="17"/>
      <c r="G42" s="17"/>
      <c r="H42" s="19"/>
    </row>
    <row r="43" spans="1:8" ht="15.6" thickBot="1">
      <c r="A43" s="20"/>
      <c r="B43" s="21"/>
      <c r="C43" s="22"/>
      <c r="D43" s="22"/>
      <c r="E43" s="95" t="s">
        <v>16</v>
      </c>
      <c r="F43" s="95"/>
      <c r="G43" s="95"/>
      <c r="H43" s="96"/>
    </row>
    <row r="44" spans="1:8" ht="18" thickBot="1">
      <c r="A44" s="85" t="s">
        <v>17</v>
      </c>
      <c r="B44" s="86"/>
      <c r="C44" s="86"/>
      <c r="D44" s="86"/>
      <c r="E44" s="86"/>
      <c r="F44" s="86"/>
      <c r="G44" s="86"/>
      <c r="H44" s="87"/>
    </row>
  </sheetData>
  <mergeCells count="8">
    <mergeCell ref="A44:H44"/>
    <mergeCell ref="A1:H1"/>
    <mergeCell ref="A2:H2"/>
    <mergeCell ref="A3:E3"/>
    <mergeCell ref="F3:H3"/>
    <mergeCell ref="E38:H38"/>
    <mergeCell ref="E43:H43"/>
    <mergeCell ref="F37:G37"/>
  </mergeCells>
  <pageMargins left="0.28999999999999998" right="0.22" top="0.22" bottom="0.25" header="0.24" footer="0.2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A2" sqref="A2:A5"/>
    </sheetView>
  </sheetViews>
  <sheetFormatPr defaultRowHeight="14.4"/>
  <cols>
    <col min="1" max="1" width="69.44140625" customWidth="1"/>
    <col min="2" max="2" width="28.44140625" customWidth="1"/>
  </cols>
  <sheetData>
    <row r="1" spans="1:5" ht="15.6">
      <c r="A1" s="76" t="s">
        <v>31</v>
      </c>
      <c r="B1" s="77" t="s">
        <v>32</v>
      </c>
      <c r="C1" s="77" t="s">
        <v>30</v>
      </c>
      <c r="D1" s="60"/>
      <c r="E1" s="60"/>
    </row>
    <row r="2" spans="1:5" ht="45" customHeight="1">
      <c r="A2" s="61" t="s">
        <v>34</v>
      </c>
      <c r="B2" s="78" t="s">
        <v>33</v>
      </c>
      <c r="C2" s="79">
        <v>50</v>
      </c>
      <c r="D2" s="75"/>
      <c r="E2" s="60"/>
    </row>
    <row r="3" spans="1:5" ht="55.5" customHeight="1">
      <c r="A3" s="61" t="s">
        <v>35</v>
      </c>
      <c r="B3" s="78" t="s">
        <v>33</v>
      </c>
      <c r="C3" s="79">
        <v>21</v>
      </c>
      <c r="D3" s="75"/>
      <c r="E3" s="60"/>
    </row>
    <row r="4" spans="1:5" ht="51" customHeight="1">
      <c r="A4" s="61" t="s">
        <v>35</v>
      </c>
      <c r="B4" s="78" t="s">
        <v>33</v>
      </c>
      <c r="C4" s="79">
        <v>4</v>
      </c>
    </row>
    <row r="5" spans="1:5" ht="48" customHeight="1">
      <c r="A5" s="61" t="s">
        <v>36</v>
      </c>
      <c r="B5" s="78" t="s">
        <v>33</v>
      </c>
      <c r="C5" s="79">
        <v>4</v>
      </c>
    </row>
    <row r="6" spans="1:5" ht="15">
      <c r="A6" s="74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</dc:creator>
  <cp:lastModifiedBy>Nirmal Dewasi</cp:lastModifiedBy>
  <cp:lastPrinted>2025-09-03T13:41:16Z</cp:lastPrinted>
  <dcterms:created xsi:type="dcterms:W3CDTF">2021-03-18T15:08:59Z</dcterms:created>
  <dcterms:modified xsi:type="dcterms:W3CDTF">2025-09-03T13:52:01Z</dcterms:modified>
</cp:coreProperties>
</file>